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Types.xml" ContentType="application/vnd.ms-excel.rdrichvaluetypes+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banum\Desktop\DA Projects\"/>
    </mc:Choice>
  </mc:AlternateContent>
  <xr:revisionPtr revIDLastSave="0" documentId="8_{E12B1AF0-2628-4EB3-BB61-E953AB131CD8}" xr6:coauthVersionLast="47" xr6:coauthVersionMax="47" xr10:uidLastSave="{00000000-0000-0000-0000-000000000000}"/>
  <bookViews>
    <workbookView xWindow="-108" yWindow="-108" windowWidth="23256" windowHeight="12456" activeTab="2" xr2:uid="{26D4546B-D2A1-4444-8EAF-A6228F96F0C1}"/>
  </bookViews>
  <sheets>
    <sheet name="Data" sheetId="2" r:id="rId1"/>
    <sheet name="Pivots" sheetId="6" r:id="rId2"/>
    <sheet name="Customer Center Report" sheetId="5" r:id="rId3"/>
    <sheet name="Assets" sheetId="4" r:id="rId4"/>
  </sheets>
  <definedNames>
    <definedName name="_xlnm._FilterDatabase" localSheetId="0" hidden="1">Data!$B$3:$H$1003</definedName>
    <definedName name="_xlcn.WorksheetConnection_sampledataexcelportfolioproject.xlsxcalls" hidden="1">calls[]</definedName>
    <definedName name="_xlcn.WorksheetConnection_sampledataexcelportfolioproject.xlsxcustomers" hidden="1">customers[]</definedName>
    <definedName name="Slicer_Representative">#N/A</definedName>
  </definedNames>
  <calcPr calcId="191029"/>
  <pivotCaches>
    <pivotCache cacheId="10" r:id="rId5"/>
    <pivotCache cacheId="11" r:id="rId6"/>
    <pivotCache cacheId="12" r:id="rId7"/>
    <pivotCache cacheId="13" r:id="rId8"/>
    <pivotCache cacheId="19" r:id="rId9"/>
    <pivotCache cacheId="23" r:id="rId10"/>
    <pivotCache cacheId="26" r:id="rId11"/>
    <pivotCache cacheId="29" r:id="rId12"/>
    <pivotCache cacheId="32" r:id="rId13"/>
    <pivotCache cacheId="35" r:id="rId14"/>
  </pivotCaches>
  <extLst>
    <ext xmlns:x14="http://schemas.microsoft.com/office/spreadsheetml/2009/9/main" uri="{876F7934-8845-4945-9796-88D515C7AA90}">
      <x14:pivotCaches>
        <pivotCache cacheId="2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M4" i="2" l="1"/>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N18" i="5"/>
  <c r="N19" i="5"/>
  <c r="P19" i="5"/>
  <c r="Q19" i="5"/>
  <c r="R19" i="5"/>
  <c r="S19" i="5"/>
  <c r="T19" i="5"/>
  <c r="N20" i="5"/>
  <c r="O20" i="5"/>
  <c r="P20" i="5"/>
  <c r="Q20" i="5"/>
  <c r="R20" i="5"/>
  <c r="S20" i="5"/>
  <c r="T20" i="5"/>
  <c r="N21" i="5"/>
  <c r="O21" i="5"/>
  <c r="P21" i="5"/>
  <c r="Q21" i="5"/>
  <c r="R21" i="5"/>
  <c r="S21" i="5"/>
  <c r="T21" i="5"/>
  <c r="N22" i="5"/>
  <c r="O22" i="5"/>
  <c r="P22" i="5"/>
  <c r="Q22" i="5"/>
  <c r="R22" i="5"/>
  <c r="S22" i="5"/>
  <c r="T22" i="5"/>
  <c r="N23" i="5"/>
  <c r="N24" i="5"/>
  <c r="O24" i="5"/>
  <c r="P24" i="5"/>
  <c r="Q24" i="5"/>
  <c r="R24" i="5"/>
  <c r="S24" i="5"/>
  <c r="T24" i="5"/>
  <c r="N25" i="5"/>
  <c r="O25" i="5"/>
  <c r="P25" i="5"/>
  <c r="Q25" i="5"/>
  <c r="R25" i="5"/>
  <c r="S25" i="5"/>
  <c r="T25" i="5"/>
  <c r="N26" i="5"/>
  <c r="O26" i="5"/>
  <c r="P26" i="5"/>
  <c r="Q26" i="5"/>
  <c r="R26" i="5"/>
  <c r="S26" i="5"/>
  <c r="T26" i="5"/>
  <c r="N27" i="5"/>
  <c r="O27" i="5"/>
  <c r="P27" i="5"/>
  <c r="Q27" i="5"/>
  <c r="R27" i="5"/>
  <c r="S27" i="5"/>
  <c r="T27" i="5"/>
  <c r="N28" i="5"/>
  <c r="O28" i="5"/>
  <c r="P28" i="5"/>
  <c r="Q28" i="5"/>
  <c r="R28" i="5"/>
  <c r="S28" i="5"/>
  <c r="T28" i="5"/>
  <c r="N29" i="5"/>
  <c r="O29" i="5"/>
  <c r="P29" i="5"/>
  <c r="Q29" i="5"/>
  <c r="R29" i="5"/>
  <c r="S29" i="5"/>
  <c r="T29" i="5"/>
  <c r="N30" i="5"/>
  <c r="N31" i="5"/>
  <c r="O31" i="5"/>
  <c r="P31" i="5"/>
  <c r="Q31" i="5"/>
  <c r="R31" i="5"/>
  <c r="S31" i="5"/>
  <c r="T31" i="5"/>
  <c r="N32" i="5"/>
  <c r="O32" i="5"/>
  <c r="P32" i="5"/>
  <c r="Q32" i="5"/>
  <c r="R32" i="5"/>
  <c r="S32" i="5"/>
  <c r="T32" i="5"/>
  <c r="N33" i="5"/>
  <c r="O33" i="5"/>
  <c r="P33" i="5"/>
  <c r="Q33" i="5"/>
  <c r="R33" i="5"/>
  <c r="S33" i="5"/>
  <c r="T33" i="5"/>
  <c r="N34" i="5"/>
  <c r="O34" i="5"/>
  <c r="P34" i="5"/>
  <c r="Q34" i="5"/>
  <c r="R34" i="5"/>
  <c r="S34" i="5"/>
  <c r="T34" i="5"/>
  <c r="N35" i="5"/>
  <c r="O35" i="5"/>
  <c r="P35" i="5"/>
  <c r="Q35" i="5"/>
  <c r="R35" i="5"/>
  <c r="S35" i="5"/>
  <c r="T35" i="5"/>
  <c r="F45" i="6"/>
  <c r="C55" i="6"/>
  <c r="G45" i="6"/>
  <c r="H45" i="6"/>
  <c r="G46" i="6"/>
  <c r="H46" i="6"/>
  <c r="G47" i="6"/>
  <c r="H47" i="6"/>
  <c r="G48" i="6"/>
  <c r="H48" i="6"/>
  <c r="G49" i="6"/>
  <c r="H49" i="6"/>
  <c r="F46" i="6"/>
  <c r="F47" i="6"/>
  <c r="F48" i="6"/>
  <c r="F49"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c r="K90" i="2" a="1"/>
  <c r="K90" i="2" s="1"/>
  <c r="K91" i="2" a="1"/>
  <c r="K91" i="2" s="1"/>
  <c r="K92" i="2" a="1"/>
  <c r="K92" i="2" s="1"/>
  <c r="K93" i="2" a="1"/>
  <c r="K93" i="2" s="1"/>
  <c r="K94" i="2" a="1"/>
  <c r="K94" i="2" s="1"/>
  <c r="K95" i="2" a="1"/>
  <c r="K95" i="2"/>
  <c r="K96" i="2" a="1"/>
  <c r="K96" i="2" s="1"/>
  <c r="K97" i="2" a="1"/>
  <c r="K97" i="2" s="1"/>
  <c r="K98" i="2" a="1"/>
  <c r="K98" i="2" s="1"/>
  <c r="K99" i="2" a="1"/>
  <c r="K99" i="2" s="1"/>
  <c r="K100" i="2" a="1"/>
  <c r="K100" i="2" s="1"/>
  <c r="K101" i="2" a="1"/>
  <c r="K101" i="2" s="1"/>
  <c r="K102" i="2" a="1"/>
  <c r="K102" i="2" s="1"/>
  <c r="K103" i="2" a="1"/>
  <c r="K103" i="2"/>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c r="K514" i="2" a="1"/>
  <c r="K514" i="2" s="1"/>
  <c r="K515" i="2" a="1"/>
  <c r="K515" i="2" s="1"/>
  <c r="K516" i="2" a="1"/>
  <c r="K516" i="2" s="1"/>
  <c r="K517" i="2" a="1"/>
  <c r="K517" i="2" s="1"/>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c r="K547" i="2" a="1"/>
  <c r="K547" i="2" s="1"/>
  <c r="K548" i="2" a="1"/>
  <c r="K548" i="2" s="1"/>
  <c r="K549" i="2" a="1"/>
  <c r="K549" i="2" s="1"/>
  <c r="K550" i="2" a="1"/>
  <c r="K550" i="2"/>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6" i="6" l="1"/>
  <c r="I48" i="6"/>
  <c r="I47" i="6"/>
  <c r="I46" i="6"/>
  <c r="J45" i="6"/>
  <c r="J49" i="6"/>
  <c r="J48" i="6"/>
  <c r="I45" i="6"/>
  <c r="J47" i="6"/>
  <c r="I4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72DE81-7022-4270-9954-62DA12F154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BABB1FC-60BA-42D3-BE41-5AD7CBFAC734}"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
        </x15:connection>
      </ext>
    </extLst>
  </connection>
  <connection id="3" xr16:uid="{8673A7E8-6147-4008-A26F-6F4E66BA24CD}"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<sst xmlns="http://schemas.openxmlformats.org/spreadsheetml/2006/main" count="3172" uniqueCount="1080">
  <si>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</si>
  <si>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</si>
  <si>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</si>
  <si>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</si>
  <si>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</si>
  <si>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</si>
  <si>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</si>
  <si>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</si>
  <si>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</si>
  <si>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</si>
  <si>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</si>
  <si>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</si>
  <si>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</si>
  <si>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</si>
  <si>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</si>
  <si>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</si>
  <si>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</si>
  <si>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</si>
  <si>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</si>
  <si>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</si>
  <si>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</si>
  <si>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</si>
  <si>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</si>
  <si>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</si>
  <si>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</si>
  <si>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</si>
  <si>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</si>
  <si>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</si>
  <si>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</si>
  <si>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</si>
  <si>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</si>
  <si>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</si>
  <si>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</si>
  <si>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</si>
  <si>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</si>
  <si>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</si>
  <si>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</si>
  <si>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</si>
  <si>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</si>
  <si>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</si>
  <si>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</si>
  <si>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</si>
  <si>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</si>
  <si>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</si>
  <si>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</si>
  <si>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</si>
  <si>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</si>
  <si>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</si>
  <si>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</si>
  <si>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</si>
  <si>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</si>
  <si>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</si>
  <si>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</si>
  <si>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</si>
  <si>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</si>
  <si>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</si>
  <si>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</si>
  <si>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</si>
  <si>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</si>
  <si>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</si>
  <si>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</si>
  <si>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</si>
  <si>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</si>
  <si>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</si>
  <si>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</si>
  <si>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</si>
  <si>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</si>
  <si>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</si>
  <si>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</si>
  <si>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</si>
  <si>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</si>
  <si>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</si>
  <si>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</si>
  <si>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</si>
  <si>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</si>
  <si>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</si>
  <si>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</si>
  <si>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</si>
  <si>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</si>
  <si>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</si>
  <si>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</si>
  <si>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</si>
  <si>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</si>
  <si>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</si>
  <si>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</si>
  <si>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</si>
  <si>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</si>
  <si>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</si>
  <si>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</si>
  <si>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</si>
  <si>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</si>
  <si>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</si>
  <si>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</si>
  <si>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</si>
  <si>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</si>
  <si>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</si>
  <si>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</si>
  <si>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</si>
  <si>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</si>
  <si>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</si>
  <si>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</si>
  <si>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</si>
  <si>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</si>
  <si>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</si>
  <si>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</si>
  <si>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</si>
  <si>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</si>
  <si>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</si>
  <si>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</si>
  <si>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</si>
  <si>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</si>
  <si>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</si>
  <si>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</si>
  <si>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</si>
  <si>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</si>
  <si>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</si>
  <si>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</si>
  <si>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</si>
  <si>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</si>
  <si>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</si>
  <si>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</si>
  <si>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</si>
  <si>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</si>
  <si>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</si>
  <si>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</si>
  <si>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</si>
  <si>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</si>
  <si>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</si>
  <si>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</si>
  <si>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</si>
  <si>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</si>
  <si>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</si>
  <si>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</si>
  <si>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</si>
  <si>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</si>
  <si>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</si>
  <si>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</si>
  <si>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</si>
  <si>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</si>
  <si>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</si>
  <si>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</si>
  <si>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</si>
  <si>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</si>
  <si>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</si>
  <si>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</si>
  <si>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</si>
  <si>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</si>
  <si>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</si>
  <si>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</si>
  <si>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</si>
  <si>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</si>
  <si>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</si>
  <si>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</si>
  <si>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</si>
  <si>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</si>
  <si>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</si>
  <si>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</si>
  <si>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</si>
  <si>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</si>
  <si>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</si>
  <si>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</si>
  <si>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</si>
  <si>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</si>
  <si>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</si>
  <si>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</si>
  <si>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</si>
  <si>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</si>
  <si>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</si>
  <si>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</si>
  <si>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</si>
  <si>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</si>
  <si>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</si>
  <si>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</si>
  <si>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</si>
  <si>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</si>
  <si>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</si>
  <si>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</si>
  <si>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</si>
  <si>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</si>
  <si>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</si>
  <si>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</si>
  <si>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</si>
  <si>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</si>
  <si>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</si>
  <si>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</si>
  <si>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</si>
  <si>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</si>
  <si>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</si>
  <si>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</si>
  <si>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</si>
  <si>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</si>
  <si>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</si>
  <si>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</si>
  <si>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</si>
  <si>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</si>
  <si>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</si>
  <si>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</si>
  <si>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</si>
  <si>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</si>
  <si>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</si>
  <si>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</si>
  <si>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</si>
  <si>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</si>
  <si>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</si>
  <si>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</si>
  <si>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</si>
  <si>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</si>
  <si>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</si>
  <si>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</si>
  <si>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</si>
  <si>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</si>
  <si>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</si>
  <si>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</si>
  <si>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</si>
  <si>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</si>
  <si>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</si>
  <si>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</si>
  <si>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</si>
  <si>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</si>
  <si>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</si>
  <si>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</si>
  <si>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</si>
  <si>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</si>
  <si>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</si>
  <si>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</si>
  <si>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</si>
  <si>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</si>
  <si>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</si>
  <si>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</si>
  <si>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</si>
  <si>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</si>
  <si>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</si>
  <si>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</si>
  <si>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</si>
  <si>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</si>
  <si>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</si>
  <si>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</si>
  <si>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</si>
  <si>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</si>
  <si>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</si>
  <si>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</si>
  <si>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</si>
  <si>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</si>
  <si>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</si>
  <si>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</si>
  <si>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</si>
  <si>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</si>
  <si>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</si>
  <si>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</si>
  <si>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</si>
  <si>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</si>
  <si>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</si>
  <si>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</si>
  <si>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</si>
  <si>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</si>
  <si>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</si>
  <si>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</si>
  <si>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</si>
  <si>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</si>
  <si>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</si>
  <si>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</si>
  <si>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</si>
  <si>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</si>
  <si>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</si>
  <si>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</si>
  <si>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</si>
  <si>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</si>
  <si>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</si>
  <si>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</si>
  <si>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</si>
  <si>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</si>
  <si>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</si>
  <si>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</si>
  <si>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</si>
  <si>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</si>
  <si>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</si>
  <si>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</si>
  <si>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</si>
  <si>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</si>
  <si>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</si>
  <si>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</si>
  <si>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</si>
  <si>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</si>
  <si>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</si>
  <si>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</si>
  <si>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</si>
  <si>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</si>
  <si>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</si>
  <si>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</si>
  <si>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</si>
  <si>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</si>
  <si>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</si>
  <si>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</si>
  <si>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</si>
  <si>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</si>
  <si>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</si>
  <si>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</si>
  <si>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</si>
  <si>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</si>
  <si>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</si>
  <si>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</si>
  <si>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</si>
  <si>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</si>
  <si>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</si>
  <si>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</si>
  <si>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</si>
  <si>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</si>
  <si>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</si>
  <si>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</si>
  <si>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</si>
  <si>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</si>
  <si>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</si>
  <si>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</si>
  <si>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</si>
  <si>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</si>
  <si>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</si>
  <si>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</si>
  <si>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</si>
  <si>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</si>
  <si>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</si>
  <si>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</si>
  <si>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</si>
  <si>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</si>
  <si>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</si>
  <si>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</si>
  <si>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</si>
  <si>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</si>
  <si>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</si>
  <si>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</si>
  <si>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</si>
  <si>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</si>
  <si>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</si>
  <si>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</si>
  <si>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</si>
  <si>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</si>
  <si>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</si>
  <si>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</si>
  <si>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</si>
  <si>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</si>
  <si>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</si>
  <si>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</si>
  <si>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</si>
  <si>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</si>
  <si>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</si>
  <si>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</si>
  <si>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</si>
  <si>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</si>
  <si>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</si>
  <si>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</si>
  <si>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</si>
  <si>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</si>
  <si>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</si>
  <si>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</si>
  <si>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</si>
  <si>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</si>
  <si>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</si>
  <si>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</si>
  <si>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</si>
  <si>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</si>
  <si>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</si>
  <si>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</si>
  <si>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</si>
  <si>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</si>
  <si>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</si>
  <si>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</si>
  <si>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</si>
  <si>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</si>
  <si>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</si>
  <si>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</si>
  <si>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</si>
  <si>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</si>
  <si>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</si>
  <si>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</si>
  <si>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</si>
  <si>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</si>
  <si>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</si>
  <si>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</si>
  <si>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</si>
  <si>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</si>
  <si>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</si>
  <si>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</si>
  <si>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</si>
  <si>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</si>
  <si>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</si>
  <si>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</si>
  <si>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</si>
  <si>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</si>
  <si>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</si>
  <si>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</si>
  <si>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</si>
  <si>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</si>
  <si>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</si>
  <si>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</si>
  <si>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</si>
  <si>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</si>
  <si>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</si>
  <si>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</si>
  <si>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</si>
  <si>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</si>
  <si>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</si>
  <si>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</si>
  <si>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</si>
  <si>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</si>
  <si>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</si>
  <si>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</si>
  <si>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</si>
  <si>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</si>
  <si>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</si>
  <si>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</si>
  <si>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</si>
  <si>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</si>
  <si>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</si>
  <si>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</si>
  <si>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</si>
  <si>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</si>
  <si>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</si>
  <si>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</si>
  <si>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</si>
  <si>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</si>
  <si>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</si>
  <si>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</si>
  <si>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</si>
  <si>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</si>
  <si>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</si>
  <si>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</si>
  <si>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</si>
  <si>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</si>
  <si>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</si>
  <si>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</si>
  <si>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</si>
  <si>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</si>
  <si>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</si>
  <si>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</si>
  <si>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</si>
  <si>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</si>
  <si>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</si>
  <si>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</si>
  <si>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</si>
  <si>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</si>
  <si>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</si>
  <si>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</si>
  <si>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</si>
  <si>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</si>
  <si>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</si>
  <si>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</si>
  <si>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</si>
  <si>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</si>
  <si>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</si>
  <si>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</si>
  <si>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</si>
  <si>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</si>
  <si>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</si>
  <si>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</si>
  <si>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</si>
  <si>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</si>
  <si>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</si>
  <si>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</si>
  <si>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</si>
  <si>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</si>
  <si>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</si>
  <si>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</si>
  <si>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</si>
  <si>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</si>
  <si>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</si>
  <si>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</si>
  <si>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</si>
  <si>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</si>
  <si>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</si>
  <si>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</si>
  <si>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</si>
  <si>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</si>
  <si>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</si>
  <si>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</si>
  <si>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</si>
  <si>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</si>
  <si>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</si>
  <si>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</si>
  <si>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</si>
  <si>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</si>
  <si>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</si>
  <si>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</si>
  <si>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</si>
  <si>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</si>
  <si>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</si>
  <si>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</si>
  <si>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</si>
  <si>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</si>
  <si>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</si>
  <si>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</si>
  <si>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</si>
  <si>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</si>
  <si>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</si>
  <si>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</si>
  <si>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</si>
  <si>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</si>
  <si>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</si>
  <si>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</si>
  <si>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</si>
  <si>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</si>
  <si>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</si>
  <si>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</si>
  <si>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</si>
  <si>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</si>
  <si>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</si>
  <si>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</si>
  <si>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</si>
  <si>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</si>
  <si>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</si>
  <si>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</si>
  <si>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</si>
  <si>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</si>
  <si>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</si>
  <si>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</si>
  <si>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</si>
  <si>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</si>
  <si>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</si>
  <si>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</si>
  <si>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</si>
  <si>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</si>
  <si>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</si>
  <si>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</si>
  <si>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</si>
  <si>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</si>
  <si>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</si>
  <si>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</si>
  <si>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</si>
  <si>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</si>
  <si>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</si>
  <si>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</si>
  <si>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</si>
  <si>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</si>
  <si>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</si>
  <si>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</si>
  <si>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</si>
  <si>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</si>
  <si>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</si>
  <si>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</si>
  <si>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</si>
  <si>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</si>
  <si>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</si>
  <si>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</si>
  <si>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</si>
  <si>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</si>
  <si>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</si>
  <si>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</si>
  <si>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</si>
  <si>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</si>
  <si>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</si>
  <si>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</si>
  <si>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</si>
  <si>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</si>
  <si>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</si>
  <si>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</si>
  <si>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</si>
  <si>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</si>
  <si>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</si>
  <si>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</si>
  <si>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</si>
  <si>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</si>
  <si>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</si>
  <si>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</si>
  <si>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</si>
  <si>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</si>
  <si>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</si>
  <si>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</si>
  <si>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</si>
  <si>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</si>
  <si>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</si>
  <si>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</si>
  <si>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</si>
  <si>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</si>
  <si>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</si>
  <si>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</si>
  <si>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</si>
  <si>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</si>
  <si>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</si>
  <si>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</si>
  <si>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</si>
  <si>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</si>
  <si>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</si>
  <si>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</si>
  <si>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</si>
  <si>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</si>
  <si>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</si>
  <si>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</si>
  <si>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</si>
  <si>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</si>
  <si>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</si>
  <si>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</si>
  <si>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</si>
  <si>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</si>
  <si>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</si>
  <si>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</si>
  <si>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</si>
  <si>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</si>
  <si>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</si>
  <si>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</si>
  <si>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</si>
  <si>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</si>
  <si>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</si>
  <si>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</si>
  <si>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</si>
  <si>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</si>
  <si>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</si>
  <si>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</si>
  <si>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</si>
  <si>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</si>
  <si>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</si>
  <si>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</si>
  <si>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</si>
  <si>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</si>
  <si>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</si>
  <si>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</si>
  <si>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</si>
  <si>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</si>
  <si>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</si>
  <si>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</si>
  <si>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</si>
  <si>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</si>
  <si>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</si>
  <si>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</si>
  <si>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</si>
  <si>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</si>
  <si>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</si>
  <si>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</si>
  <si>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</si>
  <si>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</si>
  <si>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</si>
  <si>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</si>
  <si>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</si>
  <si>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</si>
  <si>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</si>
  <si>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</si>
  <si>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</si>
  <si>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</si>
  <si>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</si>
  <si>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</si>
  <si>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</si>
  <si>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</si>
  <si>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</si>
  <si>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</si>
  <si>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</si>
  <si>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</si>
  <si>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</si>
  <si>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</si>
  <si>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</si>
  <si>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</si>
  <si>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</si>
  <si>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</si>
  <si>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</si>
  <si>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</si>
  <si>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</si>
  <si>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</si>
  <si>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</si>
  <si>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</si>
  <si>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</si>
  <si>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</si>
  <si>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</si>
  <si>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</si>
  <si>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</si>
  <si>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</si>
  <si>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</si>
  <si>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</si>
  <si>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</si>
  <si>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</si>
  <si>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</si>
  <si>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</si>
  <si>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</si>
  <si>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</si>
  <si>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</si>
  <si>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</si>
  <si>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</si>
  <si>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</si>
  <si>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</si>
  <si>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</si>
  <si>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</si>
  <si>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</si>
  <si>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</si>
  <si>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</si>
  <si>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</si>
  <si>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</si>
  <si>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</si>
  <si>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</si>
  <si>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</si>
  <si>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</si>
  <si>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</si>
  <si>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</si>
  <si>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</si>
  <si>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</si>
  <si>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</si>
  <si>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</si>
  <si>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</si>
  <si>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</si>
  <si>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</si>
  <si>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</si>
  <si>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</si>
  <si>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</si>
  <si>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</si>
  <si>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</si>
  <si>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</si>
  <si>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</si>
  <si>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</si>
  <si>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</si>
  <si>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</si>
  <si>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</si>
  <si>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</si>
  <si>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</si>
  <si>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</si>
  <si>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</si>
  <si>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</si>
  <si>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</si>
  <si>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</si>
  <si>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</si>
  <si>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</si>
  <si>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</si>
  <si>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</si>
  <si>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</si>
  <si>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</si>
  <si>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</si>
  <si>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</si>
  <si>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</si>
  <si>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</si>
  <si>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</si>
  <si>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</si>
  <si>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</si>
  <si>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</si>
  <si>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</si>
  <si>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</si>
  <si>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</si>
  <si>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</si>
  <si>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</si>
  <si>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</si>
  <si>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</si>
  <si>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</si>
  <si>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</si>
  <si>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</si>
  <si>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</si>
  <si>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</si>
  <si>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</si>
  <si>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</si>
  <si>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</si>
  <si>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</si>
  <si>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</si>
  <si>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</si>
  <si>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</si>
  <si>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</si>
  <si>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</si>
  <si>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</si>
  <si>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</si>
  <si>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</si>
  <si>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</si>
  <si>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</si>
  <si>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</si>
  <si>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</si>
  <si>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</si>
  <si>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</si>
  <si>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</si>
  <si>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</si>
  <si>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</si>
  <si>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</si>
  <si>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</si>
  <si>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</si>
  <si>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</si>
  <si>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</si>
  <si>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</si>
  <si>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</si>
  <si>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</si>
  <si>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</si>
  <si>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</si>
  <si>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</si>
  <si>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</si>
  <si>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</si>
  <si>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</si>
  <si>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</si>
  <si>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</si>
  <si>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</si>
  <si>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</si>
  <si>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</si>
  <si>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</si>
  <si>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</si>
  <si>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</si>
  <si>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</si>
  <si>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</si>
  <si>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</si>
  <si>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</si>
  <si>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</si>
  <si>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</si>
  <si>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</si>
  <si>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</si>
  <si>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</si>
  <si>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</si>
  <si>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</si>
  <si>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</si>
  <si>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</si>
  <si>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</si>
  <si>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</si>
  <si>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</si>
  <si>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</si>
  <si>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</si>
  <si>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</si>
  <si>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</si>
  <si>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</si>
  <si>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</si>
  <si>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</si>
  <si>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</si>
  <si>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</si>
  <si>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</si>
  <si>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</si>
  <si>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</si>
  <si>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</si>
  <si>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</si>
  <si>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</si>
  <si>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</si>
  <si>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</si>
  <si>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</si>
  <si>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</si>
  <si>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</si>
  <si>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</si>
  <si>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</si>
  <si>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</si>
  <si>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</si>
  <si>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</si>
  <si>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</si>
  <si>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</si>
  <si>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</si>
  <si>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</si>
  <si>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</si>
  <si>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</si>
  <si>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</si>
  <si>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</si>
  <si>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</si>
  <si>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</si>
  <si>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</si>
  <si>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</si>
  <si>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</si>
  <si>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</si>
  <si>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</si>
  <si>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</si>
  <si>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</si>
  <si>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</si>
  <si>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</si>
  <si>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</si>
  <si>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</si>
  <si>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</si>
  <si>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</si>
  <si>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</si>
  <si>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</si>
  <si>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</si>
  <si>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</si>
  <si>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</si>
  <si>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</si>
  <si>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</si>
  <si>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</si>
  <si>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</si>
  <si>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</si>
  <si>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</si>
  <si>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</si>
  <si>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</si>
  <si>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</si>
  <si>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</si>
  <si>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</si>
  <si>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</si>
  <si>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</si>
  <si>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</si>
  <si>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</si>
  <si>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</si>
  <si>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</si>
  <si>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</si>
  <si>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</si>
  <si>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</si>
  <si>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</si>
  <si>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</si>
  <si>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</si>
  <si>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</si>
  <si>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</si>
  <si>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</si>
  <si>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</si>
  <si>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</si>
  <si>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</si>
  <si>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</si>
  <si>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</si>
  <si>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</si>
  <si>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</si>
  <si>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</si>
  <si>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</si>
  <si>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</si>
  <si>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</si>
  <si>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</si>
  <si>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</si>
  <si>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</si>
  <si>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</si>
  <si>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</si>
  <si>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</si>
  <si>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</si>
  <si>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</si>
  <si>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</si>
  <si>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</si>
  <si>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</si>
  <si>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</si>
  <si>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</si>
  <si>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</si>
  <si>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</si>
  <si>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</si>
  <si>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</si>
  <si>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</si>
  <si>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</si>
  <si>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</si>
  <si>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</si>
  <si>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</si>
  <si>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</si>
  <si>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</si>
  <si>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</si>
  <si>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</si>
  <si>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</si>
  <si>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</si>
  <si>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</si>
  <si>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</si>
  <si>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</si>
  <si>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</si>
  <si>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</si>
  <si>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</si>
  <si>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</si>
  <si>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</si>
  <si>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</si>
  <si>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</si>
  <si>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</si>
  <si>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</si>
  <si>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</si>
  <si>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</si>
  <si>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</si>
  <si>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</si>
  <si>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</si>
  <si>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</si>
  <si>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</si>
  <si>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</si>
  <si>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</si>
  <si>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</si>
  <si>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</si>
  <si>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</si>
  <si>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</si>
  <si>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</si>
  <si>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</si>
  <si>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</si>
  <si>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</si>
  <si>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</si>
  <si>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</si>
  <si>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</si>
  <si>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</si>
  <si>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</si>
  <si>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</si>
  <si>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</si>
  <si>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</si>
  <si>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</si>
  <si>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</si>
  <si>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</si>
  <si>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</si>
  <si>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</si>
  <si>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</si>
  <si>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</si>
  <si>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</si>
  <si>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</si>
  <si>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</si>
  <si>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</si>
  <si>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</si>
  <si>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</si>
  <si>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</si>
  <si>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</si>
  <si>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</si>
  <si>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</si>
  <si>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</si>
  <si>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</si>
  <si>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</si>
  <si>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</si>
  <si>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</si>
  <si>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</si>
  <si>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</si>
  <si>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</si>
  <si>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</si>
  <si>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</si>
  <si>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</si>
  <si>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</si>
  <si>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</si>
  <si>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</si>
  <si>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</si>
  <si>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</si>
  <si>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</si>
  <si>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</si>
  <si>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</si>
  <si>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</si>
  <si>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</si>
  <si>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</si>
  <si>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</si>
  <si>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</si>
  <si>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</si>
  <si>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</si>
  <si>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</si>
  <si>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</si>
  <si>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</si>
  <si>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</si>
  <si>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</si>
  <si>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</si>
  <si>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</si>
  <si>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</si>
  <si>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</si>
  <si>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</si>
  <si>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</si>
  <si>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</si>
  <si>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</si>
  <si>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</si>
  <si>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</si>
  <si>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</si>
  <si>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</si>
  <si>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</si>
  <si>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</si>
  <si>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</si>
  <si>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</si>
  <si>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</si>
  <si>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</si>
  <si>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</si>
  <si>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</si>
  <si>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</si>
  <si>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</si>
  <si>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</si>
  <si>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</si>
  <si>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</si>
  <si>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</si>
  <si>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</si>
  <si>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</si>
  <si>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</si>
  <si>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</si>
  <si>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</si>
  <si>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</si>
  <si>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</si>
  <si>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</si>
  <si>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</si>
  <si>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</si>
  <si>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</si>
  <si>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</si>
  <si>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</si>
  <si>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</si>
  <si>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</si>
  <si>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</si>
  <si>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 xml:space="preserve"> </t>
  </si>
  <si>
    <t>Call Count</t>
  </si>
  <si>
    <t>Total Amount</t>
  </si>
  <si>
    <t xml:space="preserve">Total Duration </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</si>
  <si>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</si>
  <si>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</si>
  <si>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</si>
  <si>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</si>
  <si>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</si>
  <si>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</si>
  <si>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</si>
  <si>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</si>
  <si>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</si>
  <si>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</si>
  <si>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</si>
  <si>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</si>
  <si>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</si>
  <si>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</si>
  <si>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</si>
  <si>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</si>
  <si>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</si>
  <si>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</si>
  <si>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</si>
  <si>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</si>
  <si>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</si>
  <si>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</si>
  <si>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</si>
  <si>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</si>
  <si>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</si>
  <si>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Reps</t>
  </si>
  <si>
    <t>Calls</t>
  </si>
  <si>
    <t>Amount</t>
  </si>
  <si>
    <t>Sel.calls</t>
  </si>
  <si>
    <t>Sell.Amounts</t>
  </si>
  <si>
    <t>Selected Rep</t>
  </si>
  <si>
    <t>Column Labels</t>
  </si>
  <si>
    <t>TOTAL</t>
  </si>
  <si>
    <t>Avg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</si>
</sst>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quot;₹&quot;\ #,##0;#,##0\ \-&quot;₹&quot;;&quot;₹&quot;\ #,##0"/>
    <numFmt numFmtId="166" formatCode="0.0"/>
    <numFmt numFmtId="167" formatCode="\$#,###.0,&quot;k&quot;"/>
    <numFmt numFmtId="168" formatCode="&quot;₹&quot;\ #,##0;#,##0\ \-&quot;₹&quot;;&quot;₹&quot;\ #,##0"/>
  </numFmts>
  <fonts count="4" x14ac:knownFonts="1">
    <font>
      <sz val="11"/>
      <color theme="1"/>
      <name val="Trebuchet MS"/>
      <family val="2"/>
      <scheme val="minor"/>
    </font>
    <font>
      <b/>
      <sz val="11"/>
      <color theme="1"/>
      <name val="Trebuchet MS"/>
      <family val="2"/>
      <scheme val="minor"/>
    </font>
    <font>
      <sz val="8"/>
      <name val="Trebuchet MS"/>
      <family val="2"/>
      <scheme val="minor"/>
    </font>
    <font>
      <sz val="18"/>
      <color theme="1"/>
      <name val="Aptos ExtraBold"/>
      <family val="2"/>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5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10" xfId="0" applyFill="1" applyBorder="1"/>
    <xf numFmtId="0" fontId="0" fillId="5" borderId="11" xfId="0" applyFill="1" applyBorder="1"/>
    <xf numFmtId="0" fontId="0" fillId="5" borderId="12" xfId="0" applyFill="1" applyBorder="1"/>
    <xf numFmtId="0" fontId="0" fillId="5" borderId="13" xfId="0" applyFill="1" applyBorder="1"/>
    <xf numFmtId="0" fontId="0" fillId="5" borderId="0" xfId="0" applyFill="1"/>
    <xf numFmtId="0" fontId="0" fillId="5" borderId="14" xfId="0" applyFill="1" applyBorder="1"/>
    <xf numFmtId="0" fontId="0" fillId="5" borderId="15" xfId="0" applyFill="1" applyBorder="1"/>
    <xf numFmtId="0" fontId="0" fillId="5" borderId="16" xfId="0" applyFill="1" applyBorder="1"/>
    <xf numFmtId="0" fontId="0" fillId="5" borderId="17" xfId="0" applyFill="1" applyBorder="1"/>
    <xf numFmtId="0" fontId="1" fillId="5" borderId="11" xfId="0" applyFont="1" applyFill="1" applyBorder="1"/>
    <xf numFmtId="0" fontId="1" fillId="5" borderId="13" xfId="0" applyFont="1" applyFill="1" applyBorder="1"/>
    <xf numFmtId="0" fontId="1" fillId="5" borderId="0" xfId="0" applyFont="1" applyFill="1" applyAlignment="1">
      <alignment horizontal="center" vertical="center"/>
    </xf>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168" fontId="0" fillId="0" borderId="0" xfId="0" applyNumberFormat="1"/>
  </cellXfs>
  <cellStyles count="1">
    <cellStyle name="Normal" xfId="0" builtinId="0"/>
  </cellStyles>
  <dxfs count="19">
    <dxf>
      <fill>
        <patternFill>
          <bgColor theme="7" tint="0.59996337778862885"/>
        </patternFill>
      </fill>
      <border>
        <left style="thin">
          <color theme="1" tint="0.14996795556505021"/>
        </left>
        <right style="thin">
          <color theme="1" tint="0.14996795556505021"/>
        </right>
        <top/>
        <bottom/>
        <vertical/>
        <horizontal/>
      </border>
    </dxf>
    <dxf>
      <fill>
        <patternFill patternType="solid">
          <bgColor rgb="FFFFFF0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Trebuchet M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24994659260841701"/>
        </left>
        <right style="thin">
          <color theme="0" tint="-0.24994659260841701"/>
        </right>
        <top style="thin">
          <color theme="0" tint="-0.24994659260841701"/>
        </top>
        <bottom style="thin">
          <color theme="0" tint="-0.24994659260841701"/>
        </bottom>
        <vertical style="thick">
          <color theme="0" tint="-0.24994659260841701"/>
        </vertical>
        <horizontal style="medium">
          <color auto="1"/>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 Style 2" pivot="0" table="0" count="3" xr9:uid="{26009B37-DE38-4789-A3FF-60C96FF9B645}">
      <tableStyleElement type="wholeTable" dxfId="17"/>
    </tableStyle>
  </tableStyles>
  <colors>
    <mruColors>
      <color rgb="FFF60000"/>
      <color rgb="FFF56F33"/>
      <color rgb="FFF79163"/>
      <color rgb="FFDA4E08"/>
      <color rgb="FFE64F0C"/>
      <color rgb="FFEB2D07"/>
      <color rgb="FFFF7D7D"/>
      <color rgb="FFFF8B8B"/>
      <color rgb="FFFF6D6D"/>
    </mruColors>
  </colors>
  <extLst>
    <ext xmlns:x14="http://schemas.microsoft.com/office/spreadsheetml/2009/9/main" uri="{46F421CA-312F-682f-3DD2-61675219B42D}">
      <x14:dxfs count="1">
        <dxf>
          <font>
            <b/>
            <i val="0"/>
          </font>
          <fill>
            <patternFill>
              <bgColor rgb="FFDA4E08"/>
            </patternFill>
          </fill>
          <border>
            <left style="medium">
              <color theme="0" tint="-0.24994659260841701"/>
            </left>
            <right style="medium">
              <color theme="0" tint="-0.24994659260841701"/>
            </right>
            <top style="medium">
              <color theme="0" tint="-0.24994659260841701"/>
            </top>
            <bottom style="medium">
              <color theme="0" tint="-0.24994659260841701"/>
            </bottom>
            <vertical style="medium">
              <color theme="0" tint="-0.24994659260841701"/>
            </vertical>
            <horizontal style="medium">
              <color theme="0" tint="-0.24994659260841701"/>
            </horizontal>
          </border>
        </dxf>
      </x14:dxfs>
    </ext>
    <ext xmlns:x14="http://schemas.microsoft.com/office/spreadsheetml/2009/9/main" uri="{EB79DEF2-80B8-43e5-95BD-54CBDDF9020C}">
      <x14:slicerStyles defaultSlicerStyle="Slicer Style 2">
        <x14:slicerStyle name="Slicer Style 2">
          <x14:slicerStyleElements>
            <x14:slicerStyleElement type="selectedItemWithData" dxfId="0"/>
            <x14:slicerStyleElement type="hoveredSelectedItemWithData"/>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28"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Data Analysis.xlsx]Pivots!Weekday Trend</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6F33"/>
          </a:solidFill>
          <a:ln>
            <a:noFill/>
          </a:ln>
          <a:effectLst>
            <a:innerShdw blurRad="63500" dist="50800" dir="18900000">
              <a:srgbClr val="F79163">
                <a:alpha val="50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Pivots!$G$16</c:f>
              <c:strCache>
                <c:ptCount val="1"/>
                <c:pt idx="0">
                  <c:v>Total</c:v>
                </c:pt>
              </c:strCache>
            </c:strRef>
          </c:tx>
          <c:spPr>
            <a:solidFill>
              <a:srgbClr val="F56F33"/>
            </a:solidFill>
            <a:ln>
              <a:noFill/>
            </a:ln>
            <a:effectLst>
              <a:innerShdw blurRad="63500" dist="50800" dir="18900000">
                <a:srgbClr val="F79163">
                  <a:alpha val="50000"/>
                </a:srgb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Pivots!$F$17:$F$24</c:f>
              <c:strCache>
                <c:ptCount val="7"/>
                <c:pt idx="0">
                  <c:v>Monday</c:v>
                </c:pt>
                <c:pt idx="1">
                  <c:v>Tuesday</c:v>
                </c:pt>
                <c:pt idx="2">
                  <c:v>Wednesday</c:v>
                </c:pt>
                <c:pt idx="3">
                  <c:v>Thursday</c:v>
                </c:pt>
                <c:pt idx="4">
                  <c:v>Friday</c:v>
                </c:pt>
                <c:pt idx="5">
                  <c:v>Saturday</c:v>
                </c:pt>
                <c:pt idx="6">
                  <c:v>Sunday</c:v>
                </c:pt>
              </c:strCache>
            </c:strRef>
          </c:cat>
          <c:val>
            <c:numRef>
              <c:f>Pivots!$G$17:$G$24</c:f>
              <c:numCache>
                <c:formatCode>#,##0</c:formatCode>
                <c:ptCount val="7"/>
                <c:pt idx="0">
                  <c:v>23</c:v>
                </c:pt>
                <c:pt idx="1">
                  <c:v>28</c:v>
                </c:pt>
                <c:pt idx="2">
                  <c:v>29</c:v>
                </c:pt>
                <c:pt idx="3">
                  <c:v>18</c:v>
                </c:pt>
                <c:pt idx="4">
                  <c:v>29</c:v>
                </c:pt>
                <c:pt idx="5">
                  <c:v>34</c:v>
                </c:pt>
                <c:pt idx="6">
                  <c:v>25</c:v>
                </c:pt>
              </c:numCache>
            </c:numRef>
          </c:val>
          <c:extLst>
            <c:ext xmlns:c16="http://schemas.microsoft.com/office/drawing/2014/chart" uri="{C3380CC4-5D6E-409C-BE32-E72D297353CC}">
              <c16:uniqueId val="{00000000-2E20-453E-B014-734DBE642C00}"/>
            </c:ext>
          </c:extLst>
        </c:ser>
        <c:dLbls>
          <c:dLblPos val="outEnd"/>
          <c:showLegendKey val="0"/>
          <c:showVal val="1"/>
          <c:showCatName val="0"/>
          <c:showSerName val="0"/>
          <c:showPercent val="0"/>
          <c:showBubbleSize val="0"/>
        </c:dLbls>
        <c:gapWidth val="25"/>
        <c:axId val="1325920752"/>
        <c:axId val="1325921232"/>
      </c:barChart>
      <c:catAx>
        <c:axId val="132592075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921232"/>
        <c:crosses val="autoZero"/>
        <c:auto val="1"/>
        <c:lblAlgn val="ctr"/>
        <c:lblOffset val="100"/>
        <c:noMultiLvlLbl val="0"/>
      </c:catAx>
      <c:valAx>
        <c:axId val="1325921232"/>
        <c:scaling>
          <c:orientation val="minMax"/>
        </c:scaling>
        <c:delete val="1"/>
        <c:axPos val="t"/>
        <c:numFmt formatCode="#,##0" sourceLinked="1"/>
        <c:majorTickMark val="out"/>
        <c:minorTickMark val="none"/>
        <c:tickLblPos val="nextTo"/>
        <c:crossAx val="1325920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Data Analysis.xlsx]Pivots!Monthly 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56F33"/>
                </a:solidFill>
              </a:rPr>
              <a:t>Call</a:t>
            </a:r>
            <a:r>
              <a:rPr lang="en-IN" b="1" baseline="0">
                <a:solidFill>
                  <a:srgbClr val="F56F33"/>
                </a:solidFill>
              </a:rPr>
              <a:t> Trend</a:t>
            </a:r>
            <a:endParaRPr lang="en-IN" b="1">
              <a:solidFill>
                <a:srgbClr val="F56F33"/>
              </a:solidFill>
            </a:endParaRPr>
          </a:p>
        </c:rich>
      </c:tx>
      <c:layout>
        <c:manualLayout>
          <c:xMode val="edge"/>
          <c:yMode val="edge"/>
          <c:x val="4.7442652545550489E-2"/>
          <c:y val="4.51688394961616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FF7D7D">
                  <a:alpha val="50000"/>
                </a:srgbClr>
              </a:gs>
              <a:gs pos="100000">
                <a:srgbClr val="EB2D07"/>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circle"/>
          <c:size val="7"/>
          <c:spPr>
            <a:solidFill>
              <a:schemeClr val="bg1">
                <a:alpha val="92000"/>
              </a:schemeClr>
            </a:solidFill>
            <a:ln w="25400">
              <a:solidFill>
                <a:schemeClr val="tx1">
                  <a:lumMod val="95000"/>
                  <a:lumOff val="5000"/>
                  <a:alpha val="6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Pivots!$B$16</c:f>
              <c:strCache>
                <c:ptCount val="1"/>
                <c:pt idx="0">
                  <c:v>Call Count</c:v>
                </c:pt>
              </c:strCache>
            </c:strRef>
          </c:tx>
          <c:spPr>
            <a:gradFill flip="none" rotWithShape="1">
              <a:gsLst>
                <a:gs pos="0">
                  <a:srgbClr val="FF7D7D">
                    <a:alpha val="50000"/>
                  </a:srgbClr>
                </a:gs>
                <a:gs pos="100000">
                  <a:srgbClr val="EB2D07"/>
                </a:gs>
              </a:gsLst>
              <a:lin ang="16200000" scaled="1"/>
              <a:tileRect/>
            </a:gradFill>
            <a:ln>
              <a:noFill/>
            </a:ln>
            <a:effectLst/>
          </c:spP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Pivots!$B$17:$B$29</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2FDD-44C1-B8D0-F3432B28298D}"/>
            </c:ext>
          </c:extLst>
        </c:ser>
        <c:dLbls>
          <c:showLegendKey val="0"/>
          <c:showVal val="0"/>
          <c:showCatName val="0"/>
          <c:showSerName val="0"/>
          <c:showPercent val="0"/>
          <c:showBubbleSize val="0"/>
        </c:dLbls>
        <c:axId val="2074149040"/>
        <c:axId val="2074138480"/>
      </c:areaChart>
      <c:lineChart>
        <c:grouping val="standard"/>
        <c:varyColors val="0"/>
        <c:ser>
          <c:idx val="1"/>
          <c:order val="1"/>
          <c:tx>
            <c:strRef>
              <c:f>Pivots!$C$16</c:f>
              <c:strCache>
                <c:ptCount val="1"/>
                <c:pt idx="0">
                  <c:v>Call Count2</c:v>
                </c:pt>
              </c:strCache>
            </c:strRef>
          </c:tx>
          <c:spPr>
            <a:ln w="28575" cap="rnd">
              <a:solidFill>
                <a:srgbClr val="FF0000"/>
              </a:solidFill>
              <a:round/>
            </a:ln>
            <a:effectLst/>
          </c:spPr>
          <c:marker>
            <c:symbol val="circle"/>
            <c:size val="7"/>
            <c:spPr>
              <a:solidFill>
                <a:schemeClr val="bg1">
                  <a:alpha val="92000"/>
                </a:schemeClr>
              </a:solidFill>
              <a:ln w="25400">
                <a:solidFill>
                  <a:schemeClr val="tx1">
                    <a:lumMod val="95000"/>
                    <a:lumOff val="5000"/>
                    <a:alpha val="69000"/>
                  </a:schemeClr>
                </a:solidFill>
              </a:ln>
              <a:effectLst/>
            </c:spPr>
          </c:marke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Pivots!$C$17:$C$29</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2FDD-44C1-B8D0-F3432B28298D}"/>
            </c:ext>
          </c:extLst>
        </c:ser>
        <c:dLbls>
          <c:showLegendKey val="0"/>
          <c:showVal val="0"/>
          <c:showCatName val="0"/>
          <c:showSerName val="0"/>
          <c:showPercent val="0"/>
          <c:showBubbleSize val="0"/>
        </c:dLbls>
        <c:marker val="1"/>
        <c:smooth val="0"/>
        <c:axId val="2074149040"/>
        <c:axId val="2074138480"/>
      </c:lineChart>
      <c:catAx>
        <c:axId val="207414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138480"/>
        <c:crosses val="autoZero"/>
        <c:auto val="1"/>
        <c:lblAlgn val="ctr"/>
        <c:lblOffset val="100"/>
        <c:noMultiLvlLbl val="0"/>
      </c:catAx>
      <c:valAx>
        <c:axId val="2074138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14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60000"/>
                </a:solidFill>
              </a:rPr>
              <a:t>Amount</a:t>
            </a:r>
          </a:p>
        </c:rich>
      </c:tx>
      <c:layout>
        <c:manualLayout>
          <c:xMode val="edge"/>
          <c:yMode val="edge"/>
          <c:x val="4.5455185810731505E-2"/>
          <c:y val="1.15995983068239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4705952945583914E-2"/>
          <c:y val="0.12613101791955267"/>
          <c:w val="0.6711989678503506"/>
          <c:h val="0.8582762719338497"/>
        </c:manualLayout>
      </c:layout>
      <c:barChart>
        <c:barDir val="bar"/>
        <c:grouping val="clustered"/>
        <c:varyColors val="0"/>
        <c:ser>
          <c:idx val="0"/>
          <c:order val="0"/>
          <c:spPr>
            <a:solidFill>
              <a:schemeClr val="bg1">
                <a:lumMod val="75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28664908662381"/>
                      <c:h val="0.14627907359403233"/>
                    </c:manualLayout>
                  </c15:layout>
                </c:ext>
                <c:ext xmlns:c16="http://schemas.microsoft.com/office/drawing/2014/chart" uri="{C3380CC4-5D6E-409C-BE32-E72D297353CC}">
                  <c16:uniqueId val="{00000004-4A16-42A5-B559-E96671773A89}"/>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28664908662381"/>
                      <c:h val="0.141533997999686"/>
                    </c:manualLayout>
                  </c15:layout>
                </c:ext>
                <c:ext xmlns:c16="http://schemas.microsoft.com/office/drawing/2014/chart" uri="{C3380CC4-5D6E-409C-BE32-E72D297353CC}">
                  <c16:uniqueId val="{00000003-4A16-42A5-B559-E96671773A89}"/>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67127516405352"/>
                      <c:h val="0.14157196227791943"/>
                    </c:manualLayout>
                  </c15:layout>
                </c:ext>
                <c:ext xmlns:c16="http://schemas.microsoft.com/office/drawing/2014/chart" uri="{C3380CC4-5D6E-409C-BE32-E72D297353CC}">
                  <c16:uniqueId val="{00000002-4A16-42A5-B559-E96671773A89}"/>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13281718986346"/>
                      <c:h val="0.14627907359403233"/>
                    </c:manualLayout>
                  </c15:layout>
                </c:ext>
                <c:ext xmlns:c16="http://schemas.microsoft.com/office/drawing/2014/chart" uri="{C3380CC4-5D6E-409C-BE32-E72D297353CC}">
                  <c16:uniqueId val="{00000005-4A16-42A5-B559-E96671773A89}"/>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954404809833841"/>
                      <c:h val="0.13498339223541977"/>
                    </c:manualLayout>
                  </c15:layout>
                </c:ext>
                <c:ext xmlns:c16="http://schemas.microsoft.com/office/drawing/2014/chart" uri="{C3380CC4-5D6E-409C-BE32-E72D297353CC}">
                  <c16:uniqueId val="{00000006-4A16-42A5-B559-E96671773A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Pivots!$F$45:$F$49</c:f>
              <c:strCache>
                <c:ptCount val="5"/>
                <c:pt idx="0">
                  <c:v>R01</c:v>
                </c:pt>
                <c:pt idx="1">
                  <c:v>R02</c:v>
                </c:pt>
                <c:pt idx="2">
                  <c:v>R03</c:v>
                </c:pt>
                <c:pt idx="3">
                  <c:v>R04</c:v>
                </c:pt>
                <c:pt idx="4">
                  <c:v>R05</c:v>
                </c:pt>
              </c:strCache>
            </c:strRef>
          </c:cat>
          <c:val>
            <c:numRef>
              <c:f>Pivots!$H$45:$H$49</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A16-42A5-B559-E96671773A89}"/>
            </c:ext>
          </c:extLst>
        </c:ser>
        <c:ser>
          <c:idx val="1"/>
          <c:order val="1"/>
          <c:tx>
            <c:strRef>
              <c:f>Pivots!$J$44</c:f>
              <c:strCache>
                <c:ptCount val="1"/>
                <c:pt idx="0">
                  <c:v>Sell.Amounts</c:v>
                </c:pt>
              </c:strCache>
            </c:strRef>
          </c:tx>
          <c:spPr>
            <a:gradFill>
              <a:gsLst>
                <a:gs pos="0">
                  <a:srgbClr val="FF0000"/>
                </a:gs>
                <a:gs pos="100000">
                  <a:srgbClr val="E64F0C"/>
                </a:gs>
              </a:gsLst>
              <a:lin ang="16200000" scaled="1"/>
            </a:gradFill>
            <a:ln>
              <a:noFill/>
            </a:ln>
            <a:effectLst/>
          </c:spPr>
          <c:invertIfNegative val="0"/>
          <c:val>
            <c:numRef>
              <c:f>Pivots!$J$45:$J$49</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1-4A16-42A5-B559-E96671773A89}"/>
            </c:ext>
          </c:extLst>
        </c:ser>
        <c:dLbls>
          <c:showLegendKey val="0"/>
          <c:showVal val="0"/>
          <c:showCatName val="0"/>
          <c:showSerName val="0"/>
          <c:showPercent val="0"/>
          <c:showBubbleSize val="0"/>
        </c:dLbls>
        <c:gapWidth val="25"/>
        <c:overlap val="100"/>
        <c:axId val="2074134160"/>
        <c:axId val="2074130800"/>
      </c:barChart>
      <c:catAx>
        <c:axId val="2074134160"/>
        <c:scaling>
          <c:orientation val="maxMin"/>
        </c:scaling>
        <c:delete val="1"/>
        <c:axPos val="l"/>
        <c:numFmt formatCode="General" sourceLinked="1"/>
        <c:majorTickMark val="none"/>
        <c:minorTickMark val="none"/>
        <c:tickLblPos val="nextTo"/>
        <c:crossAx val="2074130800"/>
        <c:crosses val="autoZero"/>
        <c:auto val="1"/>
        <c:lblAlgn val="ctr"/>
        <c:lblOffset val="100"/>
        <c:noMultiLvlLbl val="0"/>
      </c:catAx>
      <c:valAx>
        <c:axId val="2074130800"/>
        <c:scaling>
          <c:orientation val="minMax"/>
        </c:scaling>
        <c:delete val="1"/>
        <c:axPos val="t"/>
        <c:numFmt formatCode="\$#,###.0,&quot;k&quot;" sourceLinked="1"/>
        <c:majorTickMark val="none"/>
        <c:minorTickMark val="none"/>
        <c:tickLblPos val="nextTo"/>
        <c:crossAx val="207413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rgbClr val="F56F33"/>
                </a:solidFill>
              </a:rPr>
              <a:t>Calls</a:t>
            </a:r>
          </a:p>
        </c:rich>
      </c:tx>
      <c:layout>
        <c:manualLayout>
          <c:xMode val="edge"/>
          <c:yMode val="edge"/>
          <c:x val="6.2236001749781236E-2"/>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Pivots!$F$45:$F$49</c:f>
              <c:strCache>
                <c:ptCount val="5"/>
                <c:pt idx="0">
                  <c:v>R01</c:v>
                </c:pt>
                <c:pt idx="1">
                  <c:v>R02</c:v>
                </c:pt>
                <c:pt idx="2">
                  <c:v>R03</c:v>
                </c:pt>
                <c:pt idx="3">
                  <c:v>R04</c:v>
                </c:pt>
                <c:pt idx="4">
                  <c:v>R05</c:v>
                </c:pt>
              </c:strCache>
            </c:strRef>
          </c:cat>
          <c:val>
            <c:numRef>
              <c:f>Pivots!$G$45:$G$49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9CF-4A07-91FE-3F2E36EA9BD0}"/>
            </c:ext>
          </c:extLst>
        </c:ser>
        <c:ser>
          <c:idx val="1"/>
          <c:order val="1"/>
          <c:tx>
            <c:strRef>
              <c:f>Pivots!$I$44</c:f>
              <c:strCache>
                <c:ptCount val="1"/>
                <c:pt idx="0">
                  <c:v>Sel.calls</c:v>
                </c:pt>
              </c:strCache>
            </c:strRef>
          </c:tx>
          <c:spPr>
            <a:gradFill>
              <a:gsLst>
                <a:gs pos="0">
                  <a:srgbClr val="F79163"/>
                </a:gs>
                <a:gs pos="100000">
                  <a:srgbClr val="F56F33"/>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Pivots!$I$45:$I$49</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89CF-4A07-91FE-3F2E36EA9BD0}"/>
            </c:ext>
          </c:extLst>
        </c:ser>
        <c:dLbls>
          <c:dLblPos val="outEnd"/>
          <c:showLegendKey val="0"/>
          <c:showVal val="1"/>
          <c:showCatName val="0"/>
          <c:showSerName val="0"/>
          <c:showPercent val="0"/>
          <c:showBubbleSize val="0"/>
        </c:dLbls>
        <c:gapWidth val="25"/>
        <c:overlap val="100"/>
        <c:axId val="806171184"/>
        <c:axId val="806176464"/>
      </c:barChart>
      <c:catAx>
        <c:axId val="8061711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76464"/>
        <c:crosses val="autoZero"/>
        <c:auto val="1"/>
        <c:lblAlgn val="ctr"/>
        <c:lblOffset val="100"/>
        <c:noMultiLvlLbl val="0"/>
      </c:catAx>
      <c:valAx>
        <c:axId val="806176464"/>
        <c:scaling>
          <c:orientation val="minMax"/>
        </c:scaling>
        <c:delete val="1"/>
        <c:axPos val="t"/>
        <c:numFmt formatCode="General" sourceLinked="1"/>
        <c:majorTickMark val="none"/>
        <c:minorTickMark val="none"/>
        <c:tickLblPos val="nextTo"/>
        <c:crossAx val="80617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Data Analysis.xlsx]Pivots!PivotTable7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rgbClr val="F56F33"/>
                </a:solidFill>
              </a:rPr>
              <a:t>Female</a:t>
            </a:r>
            <a:r>
              <a:rPr lang="en-IN" b="1" baseline="0"/>
              <a:t> vs </a:t>
            </a:r>
            <a:r>
              <a:rPr lang="en-IN" b="1" baseline="0">
                <a:solidFill>
                  <a:schemeClr val="accent4"/>
                </a:solidFill>
              </a:rPr>
              <a:t>Male</a:t>
            </a:r>
            <a:r>
              <a:rPr lang="en-IN" b="1" baseline="0"/>
              <a:t> Callers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56F33"/>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s>
    <c:plotArea>
      <c:layout/>
      <c:barChart>
        <c:barDir val="col"/>
        <c:grouping val="percentStacked"/>
        <c:varyColors val="0"/>
        <c:ser>
          <c:idx val="0"/>
          <c:order val="0"/>
          <c:tx>
            <c:strRef>
              <c:f>Pivots!$B$63:$B$64</c:f>
              <c:strCache>
                <c:ptCount val="1"/>
                <c:pt idx="0">
                  <c:v>Female</c:v>
                </c:pt>
              </c:strCache>
            </c:strRef>
          </c:tx>
          <c:spPr>
            <a:solidFill>
              <a:srgbClr val="F56F33"/>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Pivots!$A$65:$A$68</c:f>
              <c:strCache>
                <c:ptCount val="3"/>
                <c:pt idx="0">
                  <c:v>Cincinnati</c:v>
                </c:pt>
                <c:pt idx="1">
                  <c:v>Cleveland</c:v>
                </c:pt>
                <c:pt idx="2">
                  <c:v>Columbus</c:v>
                </c:pt>
              </c:strCache>
            </c:strRef>
          </c:cat>
          <c:val>
            <c:numRef>
              <c:f>Pivots!$B$65:$B$68</c:f>
              <c:numCache>
                <c:formatCode>#,##0</c:formatCode>
                <c:ptCount val="3"/>
                <c:pt idx="0">
                  <c:v>144</c:v>
                </c:pt>
                <c:pt idx="1">
                  <c:v>326</c:v>
                </c:pt>
                <c:pt idx="2">
                  <c:v>129</c:v>
                </c:pt>
              </c:numCache>
            </c:numRef>
          </c:val>
          <c:extLst>
            <c:ext xmlns:c16="http://schemas.microsoft.com/office/drawing/2014/chart" uri="{C3380CC4-5D6E-409C-BE32-E72D297353CC}">
              <c16:uniqueId val="{00000000-5135-4D08-8CCE-8227242C4C5A}"/>
            </c:ext>
          </c:extLst>
        </c:ser>
        <c:ser>
          <c:idx val="1"/>
          <c:order val="1"/>
          <c:tx>
            <c:strRef>
              <c:f>Pivots!$C$63:$C$64</c:f>
              <c:strCache>
                <c:ptCount val="1"/>
                <c:pt idx="0">
                  <c:v>Male</c:v>
                </c:pt>
              </c:strCache>
            </c:strRef>
          </c:tx>
          <c:spPr>
            <a:solidFill>
              <a:schemeClr val="accent4"/>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Pivots!$A$65:$A$68</c:f>
              <c:strCache>
                <c:ptCount val="3"/>
                <c:pt idx="0">
                  <c:v>Cincinnati</c:v>
                </c:pt>
                <c:pt idx="1">
                  <c:v>Cleveland</c:v>
                </c:pt>
                <c:pt idx="2">
                  <c:v>Columbus</c:v>
                </c:pt>
              </c:strCache>
            </c:strRef>
          </c:cat>
          <c:val>
            <c:numRef>
              <c:f>Pivots!$C$65:$C$68</c:f>
              <c:numCache>
                <c:formatCode>#,##0</c:formatCode>
                <c:ptCount val="3"/>
                <c:pt idx="0">
                  <c:v>132</c:v>
                </c:pt>
                <c:pt idx="1">
                  <c:v>63</c:v>
                </c:pt>
                <c:pt idx="2">
                  <c:v>206</c:v>
                </c:pt>
              </c:numCache>
            </c:numRef>
          </c:val>
          <c:extLst>
            <c:ext xmlns:c16="http://schemas.microsoft.com/office/drawing/2014/chart" uri="{C3380CC4-5D6E-409C-BE32-E72D297353CC}">
              <c16:uniqueId val="{00000001-5135-4D08-8CCE-8227242C4C5A}"/>
            </c:ext>
          </c:extLst>
        </c:ser>
        <c:dLbls>
          <c:dLblPos val="ctr"/>
          <c:showLegendKey val="0"/>
          <c:showVal val="1"/>
          <c:showCatName val="0"/>
          <c:showSerName val="0"/>
          <c:showPercent val="0"/>
          <c:showBubbleSize val="0"/>
        </c:dLbls>
        <c:gapWidth val="25"/>
        <c:overlap val="100"/>
        <c:axId val="550288320"/>
        <c:axId val="550288800"/>
      </c:barChart>
      <c:catAx>
        <c:axId val="55028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88800"/>
        <c:crosses val="autoZero"/>
        <c:auto val="1"/>
        <c:lblAlgn val="ctr"/>
        <c:lblOffset val="100"/>
        <c:noMultiLvlLbl val="0"/>
      </c:catAx>
      <c:valAx>
        <c:axId val="550288800"/>
        <c:scaling>
          <c:orientation val="minMax"/>
        </c:scaling>
        <c:delete val="1"/>
        <c:axPos val="l"/>
        <c:numFmt formatCode="0%" sourceLinked="1"/>
        <c:majorTickMark val="none"/>
        <c:minorTickMark val="none"/>
        <c:tickLblPos val="nextTo"/>
        <c:crossAx val="55028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Data Analysis.xlsx]Pivots!Rep Satisfaction</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Pivots!$B$73</c:f>
              <c:strCache>
                <c:ptCount val="1"/>
                <c:pt idx="0">
                  <c:v>Total</c:v>
                </c:pt>
              </c:strCache>
            </c:strRef>
          </c:tx>
          <c:spPr>
            <a:solidFill>
              <a:schemeClr val="accent2">
                <a:lumMod val="75000"/>
              </a:schemeClr>
            </a:solidFill>
            <a:ln>
              <a:noFill/>
            </a:ln>
            <a:effectLst/>
          </c:spPr>
          <c:invertIfNegative val="0"/>
          <c:cat>
            <c:strRef>
              <c:f>Pivots!$A$74:$A$79</c:f>
              <c:strCache>
                <c:ptCount val="5"/>
                <c:pt idx="0">
                  <c:v>1</c:v>
                </c:pt>
                <c:pt idx="1">
                  <c:v>2</c:v>
                </c:pt>
                <c:pt idx="2">
                  <c:v>3</c:v>
                </c:pt>
                <c:pt idx="3">
                  <c:v>4</c:v>
                </c:pt>
                <c:pt idx="4">
                  <c:v>5</c:v>
                </c:pt>
              </c:strCache>
            </c:strRef>
          </c:cat>
          <c:val>
            <c:numRef>
              <c:f>Pivots!$B$74:$B$79</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9618-4916-B49B-6626270D0114}"/>
            </c:ext>
          </c:extLst>
        </c:ser>
        <c:dLbls>
          <c:showLegendKey val="0"/>
          <c:showVal val="0"/>
          <c:showCatName val="0"/>
          <c:showSerName val="0"/>
          <c:showPercent val="0"/>
          <c:showBubbleSize val="0"/>
        </c:dLbls>
        <c:gapWidth val="10"/>
        <c:overlap val="-27"/>
        <c:axId val="550276800"/>
        <c:axId val="550262880"/>
      </c:barChart>
      <c:catAx>
        <c:axId val="55027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62880"/>
        <c:crosses val="autoZero"/>
        <c:auto val="1"/>
        <c:lblAlgn val="ctr"/>
        <c:lblOffset val="100"/>
        <c:noMultiLvlLbl val="0"/>
      </c:catAx>
      <c:valAx>
        <c:axId val="550262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76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22860</xdr:rowOff>
    </xdr:from>
    <xdr:to>
      <xdr:col>2</xdr:col>
      <xdr:colOff>464820</xdr:colOff>
      <xdr:row>6</xdr:row>
      <xdr:rowOff>167640</xdr:rowOff>
    </xdr:to>
    <xdr:sp macro="" textlink="Pivots!A4">
      <xdr:nvSpPr>
        <xdr:cNvPr id="2" name="Rectangle 1">
          <a:extLst>
            <a:ext uri="{FF2B5EF4-FFF2-40B4-BE49-F238E27FC236}">
              <a16:creationId xmlns:a16="http://schemas.microsoft.com/office/drawing/2014/main" id="{7C7EFE1B-106D-853E-D4D8-9C851BF2DA24}"/>
            </a:ext>
          </a:extLst>
        </xdr:cNvPr>
        <xdr:cNvSpPr/>
      </xdr:nvSpPr>
      <xdr:spPr>
        <a:xfrm>
          <a:off x="205740" y="571500"/>
          <a:ext cx="1074420" cy="693420"/>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D72876-A29B-45A7-ABFE-3A1732BB6C78}" type="TxLink">
            <a:rPr lang="en-US" sz="1800" b="0" i="0" u="none" strike="noStrike" kern="1200">
              <a:solidFill>
                <a:schemeClr val="bg1"/>
              </a:solidFill>
              <a:latin typeface="Bahnschrift SemiBold" panose="020B0502040204020203" pitchFamily="34" charset="0"/>
            </a:rPr>
            <a:pPr algn="ctr"/>
            <a:t>1,000</a:t>
          </a:fld>
          <a:endParaRPr lang="en-IN" sz="1800" kern="1200">
            <a:solidFill>
              <a:schemeClr val="bg1"/>
            </a:solidFill>
            <a:latin typeface="Bahnschrift SemiBold" panose="020B0502040204020203" pitchFamily="34" charset="0"/>
          </a:endParaRPr>
        </a:p>
      </xdr:txBody>
    </xdr:sp>
    <xdr:clientData/>
  </xdr:twoCellAnchor>
  <xdr:twoCellAnchor>
    <xdr:from>
      <xdr:col>1</xdr:col>
      <xdr:colOff>0</xdr:colOff>
      <xdr:row>3</xdr:row>
      <xdr:rowOff>83820</xdr:rowOff>
    </xdr:from>
    <xdr:to>
      <xdr:col>2</xdr:col>
      <xdr:colOff>480060</xdr:colOff>
      <xdr:row>4</xdr:row>
      <xdr:rowOff>30480</xdr:rowOff>
    </xdr:to>
    <xdr:sp macro="" textlink="">
      <xdr:nvSpPr>
        <xdr:cNvPr id="3" name="TextBox 2">
          <a:extLst>
            <a:ext uri="{FF2B5EF4-FFF2-40B4-BE49-F238E27FC236}">
              <a16:creationId xmlns:a16="http://schemas.microsoft.com/office/drawing/2014/main" id="{7A459FAC-052A-C882-2825-346E0EB5E3A5}"/>
            </a:ext>
          </a:extLst>
        </xdr:cNvPr>
        <xdr:cNvSpPr txBox="1"/>
      </xdr:nvSpPr>
      <xdr:spPr>
        <a:xfrm>
          <a:off x="205740" y="632460"/>
          <a:ext cx="1089660" cy="129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kern="1200">
              <a:solidFill>
                <a:schemeClr val="bg1">
                  <a:lumMod val="75000"/>
                </a:schemeClr>
              </a:solidFill>
              <a:latin typeface="Bahnschrift SemiBold" panose="020B0502040204020203" pitchFamily="34" charset="0"/>
            </a:rPr>
            <a:t>Calls</a:t>
          </a:r>
        </a:p>
      </xdr:txBody>
    </xdr:sp>
    <xdr:clientData/>
  </xdr:twoCellAnchor>
  <xdr:twoCellAnchor editAs="oneCell">
    <xdr:from>
      <xdr:col>1</xdr:col>
      <xdr:colOff>45720</xdr:colOff>
      <xdr:row>3</xdr:row>
      <xdr:rowOff>91441</xdr:rowOff>
    </xdr:from>
    <xdr:to>
      <xdr:col>1</xdr:col>
      <xdr:colOff>162861</xdr:colOff>
      <xdr:row>4</xdr:row>
      <xdr:rowOff>16851</xdr:rowOff>
    </xdr:to>
    <xdr:pic>
      <xdr:nvPicPr>
        <xdr:cNvPr id="4" name="Graphic 3" descr="Receiver with solid fill">
          <a:extLst>
            <a:ext uri="{FF2B5EF4-FFF2-40B4-BE49-F238E27FC236}">
              <a16:creationId xmlns:a16="http://schemas.microsoft.com/office/drawing/2014/main" id="{513FA8E9-21AF-4A33-92C8-47CC8BE384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1460" y="640081"/>
          <a:ext cx="117141" cy="114299"/>
        </a:xfrm>
        <a:prstGeom prst="rect">
          <a:avLst/>
        </a:prstGeom>
      </xdr:spPr>
    </xdr:pic>
    <xdr:clientData/>
  </xdr:twoCellAnchor>
  <xdr:twoCellAnchor>
    <xdr:from>
      <xdr:col>1</xdr:col>
      <xdr:colOff>0</xdr:colOff>
      <xdr:row>5</xdr:row>
      <xdr:rowOff>144780</xdr:rowOff>
    </xdr:from>
    <xdr:to>
      <xdr:col>2</xdr:col>
      <xdr:colOff>457200</xdr:colOff>
      <xdr:row>6</xdr:row>
      <xdr:rowOff>144780</xdr:rowOff>
    </xdr:to>
    <xdr:sp macro="" textlink="Pivots!A10">
      <xdr:nvSpPr>
        <xdr:cNvPr id="6" name="TextBox 5">
          <a:extLst>
            <a:ext uri="{FF2B5EF4-FFF2-40B4-BE49-F238E27FC236}">
              <a16:creationId xmlns:a16="http://schemas.microsoft.com/office/drawing/2014/main" id="{4DFBBB72-0C95-61E0-1745-B8A1DCB7D917}"/>
            </a:ext>
          </a:extLst>
        </xdr:cNvPr>
        <xdr:cNvSpPr txBox="1"/>
      </xdr:nvSpPr>
      <xdr:spPr>
        <a:xfrm>
          <a:off x="205740" y="1059180"/>
          <a:ext cx="10668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E03387-8812-4173-9031-F4A44E90B28A}" type="TxLink">
            <a:rPr lang="en-US" sz="1100" b="0" i="0" u="none" strike="noStrike" kern="1200">
              <a:solidFill>
                <a:schemeClr val="bg1">
                  <a:lumMod val="75000"/>
                </a:schemeClr>
              </a:solidFill>
              <a:latin typeface="Trebuchet MS"/>
            </a:rPr>
            <a:pPr algn="ctr"/>
            <a:t>186</a:t>
          </a:fld>
          <a:endParaRPr lang="en-IN" sz="1100" kern="1200">
            <a:solidFill>
              <a:schemeClr val="bg1">
                <a:lumMod val="75000"/>
              </a:schemeClr>
            </a:solidFill>
          </a:endParaRPr>
        </a:p>
      </xdr:txBody>
    </xdr:sp>
    <xdr:clientData/>
  </xdr:twoCellAnchor>
  <xdr:twoCellAnchor>
    <xdr:from>
      <xdr:col>1</xdr:col>
      <xdr:colOff>0</xdr:colOff>
      <xdr:row>9</xdr:row>
      <xdr:rowOff>150030</xdr:rowOff>
    </xdr:from>
    <xdr:to>
      <xdr:col>2</xdr:col>
      <xdr:colOff>464820</xdr:colOff>
      <xdr:row>13</xdr:row>
      <xdr:rowOff>114552</xdr:rowOff>
    </xdr:to>
    <xdr:sp macro="" textlink="Pivots!B4">
      <xdr:nvSpPr>
        <xdr:cNvPr id="93" name="Rectangle 92">
          <a:extLst>
            <a:ext uri="{FF2B5EF4-FFF2-40B4-BE49-F238E27FC236}">
              <a16:creationId xmlns:a16="http://schemas.microsoft.com/office/drawing/2014/main" id="{3EF74858-86AF-46F0-AAF8-82AD2DBF81D6}"/>
            </a:ext>
          </a:extLst>
        </xdr:cNvPr>
        <xdr:cNvSpPr/>
      </xdr:nvSpPr>
      <xdr:spPr>
        <a:xfrm>
          <a:off x="205946" y="1818192"/>
          <a:ext cx="1072360" cy="705928"/>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FAE280-E893-4080-BAD4-A7D4323E9784}" type="TxLink">
            <a:rPr lang="en-US" sz="1800" b="0" i="0" u="none" strike="noStrike" kern="1200">
              <a:solidFill>
                <a:schemeClr val="bg1"/>
              </a:solidFill>
              <a:latin typeface="Bahnschrift SemiBold" panose="020B0502040204020203" pitchFamily="34" charset="0"/>
            </a:rPr>
            <a:pPr algn="ctr"/>
            <a:t>₹ 96,623</a:t>
          </a:fld>
          <a:endParaRPr lang="en-IN" sz="1800" kern="1200">
            <a:solidFill>
              <a:schemeClr val="bg1"/>
            </a:solidFill>
            <a:latin typeface="Bahnschrift SemiBold" panose="020B0502040204020203" pitchFamily="34" charset="0"/>
          </a:endParaRPr>
        </a:p>
      </xdr:txBody>
    </xdr:sp>
    <xdr:clientData/>
  </xdr:twoCellAnchor>
  <xdr:twoCellAnchor>
    <xdr:from>
      <xdr:col>1</xdr:col>
      <xdr:colOff>0</xdr:colOff>
      <xdr:row>10</xdr:row>
      <xdr:rowOff>10398</xdr:rowOff>
    </xdr:from>
    <xdr:to>
      <xdr:col>2</xdr:col>
      <xdr:colOff>480060</xdr:colOff>
      <xdr:row>10</xdr:row>
      <xdr:rowOff>145032</xdr:rowOff>
    </xdr:to>
    <xdr:sp macro="" textlink="">
      <xdr:nvSpPr>
        <xdr:cNvPr id="94" name="TextBox 93">
          <a:extLst>
            <a:ext uri="{FF2B5EF4-FFF2-40B4-BE49-F238E27FC236}">
              <a16:creationId xmlns:a16="http://schemas.microsoft.com/office/drawing/2014/main" id="{0E484357-6A6C-4D77-81A6-95F544C225D8}"/>
            </a:ext>
          </a:extLst>
        </xdr:cNvPr>
        <xdr:cNvSpPr txBox="1"/>
      </xdr:nvSpPr>
      <xdr:spPr>
        <a:xfrm>
          <a:off x="205946" y="1863912"/>
          <a:ext cx="1087600" cy="134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kern="1200">
              <a:solidFill>
                <a:schemeClr val="bg1">
                  <a:lumMod val="75000"/>
                </a:schemeClr>
              </a:solidFill>
              <a:latin typeface="Bahnschrift SemiBold" panose="020B0502040204020203" pitchFamily="34" charset="0"/>
            </a:rPr>
            <a:t>Amount</a:t>
          </a:r>
        </a:p>
      </xdr:txBody>
    </xdr:sp>
    <xdr:clientData/>
  </xdr:twoCellAnchor>
  <xdr:twoCellAnchor editAs="oneCell">
    <xdr:from>
      <xdr:col>1</xdr:col>
      <xdr:colOff>54761</xdr:colOff>
      <xdr:row>10</xdr:row>
      <xdr:rowOff>25639</xdr:rowOff>
    </xdr:from>
    <xdr:to>
      <xdr:col>1</xdr:col>
      <xdr:colOff>169060</xdr:colOff>
      <xdr:row>10</xdr:row>
      <xdr:rowOff>145032</xdr:rowOff>
    </xdr:to>
    <xdr:pic>
      <xdr:nvPicPr>
        <xdr:cNvPr id="95" name="Graphic 94">
          <a:extLst>
            <a:ext uri="{FF2B5EF4-FFF2-40B4-BE49-F238E27FC236}">
              <a16:creationId xmlns:a16="http://schemas.microsoft.com/office/drawing/2014/main" id="{8B5E2A07-419F-414C-AA95-4A78067E7F1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60707" y="1879153"/>
          <a:ext cx="114299" cy="119393"/>
        </a:xfrm>
        <a:prstGeom prst="rect">
          <a:avLst/>
        </a:prstGeom>
      </xdr:spPr>
    </xdr:pic>
    <xdr:clientData/>
  </xdr:twoCellAnchor>
  <xdr:twoCellAnchor>
    <xdr:from>
      <xdr:col>1</xdr:col>
      <xdr:colOff>0</xdr:colOff>
      <xdr:row>12</xdr:row>
      <xdr:rowOff>86599</xdr:rowOff>
    </xdr:from>
    <xdr:to>
      <xdr:col>2</xdr:col>
      <xdr:colOff>457200</xdr:colOff>
      <xdr:row>13</xdr:row>
      <xdr:rowOff>86598</xdr:rowOff>
    </xdr:to>
    <xdr:sp macro="" textlink="Pivots!B10">
      <xdr:nvSpPr>
        <xdr:cNvPr id="96" name="TextBox 95">
          <a:extLst>
            <a:ext uri="{FF2B5EF4-FFF2-40B4-BE49-F238E27FC236}">
              <a16:creationId xmlns:a16="http://schemas.microsoft.com/office/drawing/2014/main" id="{2F7E8BAE-994B-4E2D-9F6D-F636B7A4DE49}"/>
            </a:ext>
          </a:extLst>
        </xdr:cNvPr>
        <xdr:cNvSpPr txBox="1"/>
      </xdr:nvSpPr>
      <xdr:spPr>
        <a:xfrm>
          <a:off x="205946" y="2310815"/>
          <a:ext cx="1064740" cy="18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0D6CB5-A82D-47C8-872E-A5AA8A85435F}" type="TxLink">
            <a:rPr lang="en-US" sz="1100" b="0" i="0" u="none" strike="noStrike" kern="1200">
              <a:solidFill>
                <a:schemeClr val="bg1">
                  <a:lumMod val="75000"/>
                </a:schemeClr>
              </a:solidFill>
              <a:latin typeface="Trebuchet MS"/>
            </a:rPr>
            <a:pPr algn="ctr"/>
            <a:t>₹ 16,651</a:t>
          </a:fld>
          <a:endParaRPr lang="en-IN" sz="1100" kern="1200">
            <a:solidFill>
              <a:schemeClr val="bg1">
                <a:lumMod val="75000"/>
              </a:schemeClr>
            </a:solidFill>
          </a:endParaRPr>
        </a:p>
      </xdr:txBody>
    </xdr:sp>
    <xdr:clientData/>
  </xdr:twoCellAnchor>
  <xdr:twoCellAnchor>
    <xdr:from>
      <xdr:col>1</xdr:col>
      <xdr:colOff>0</xdr:colOff>
      <xdr:row>17</xdr:row>
      <xdr:rowOff>3319</xdr:rowOff>
    </xdr:from>
    <xdr:to>
      <xdr:col>2</xdr:col>
      <xdr:colOff>464820</xdr:colOff>
      <xdr:row>20</xdr:row>
      <xdr:rowOff>153193</xdr:rowOff>
    </xdr:to>
    <xdr:sp macro="" textlink="Pivots!C4">
      <xdr:nvSpPr>
        <xdr:cNvPr id="105" name="Rectangle 104">
          <a:extLst>
            <a:ext uri="{FF2B5EF4-FFF2-40B4-BE49-F238E27FC236}">
              <a16:creationId xmlns:a16="http://schemas.microsoft.com/office/drawing/2014/main" id="{BBC526D4-65C5-4975-B4F1-C2F01C0090DC}"/>
            </a:ext>
          </a:extLst>
        </xdr:cNvPr>
        <xdr:cNvSpPr/>
      </xdr:nvSpPr>
      <xdr:spPr>
        <a:xfrm>
          <a:off x="205946" y="3154292"/>
          <a:ext cx="1072360" cy="705928"/>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81D843-FF78-4095-8A6C-62026B931166}" type="TxLink">
            <a:rPr lang="en-US" sz="1800" b="0" i="0" u="none" strike="noStrike" kern="1200">
              <a:solidFill>
                <a:schemeClr val="bg1"/>
              </a:solidFill>
              <a:latin typeface="Bahnschrift SemiBold" panose="020B0502040204020203" pitchFamily="34" charset="0"/>
            </a:rPr>
            <a:pPr algn="ctr"/>
            <a:t>89,850</a:t>
          </a:fld>
          <a:endParaRPr lang="en-IN" sz="1800" kern="1200">
            <a:solidFill>
              <a:schemeClr val="bg1"/>
            </a:solidFill>
            <a:latin typeface="Bahnschrift SemiBold" panose="020B0502040204020203" pitchFamily="34" charset="0"/>
          </a:endParaRPr>
        </a:p>
      </xdr:txBody>
    </xdr:sp>
    <xdr:clientData/>
  </xdr:twoCellAnchor>
  <xdr:twoCellAnchor>
    <xdr:from>
      <xdr:col>1</xdr:col>
      <xdr:colOff>0</xdr:colOff>
      <xdr:row>17</xdr:row>
      <xdr:rowOff>69373</xdr:rowOff>
    </xdr:from>
    <xdr:to>
      <xdr:col>2</xdr:col>
      <xdr:colOff>480060</xdr:colOff>
      <xdr:row>18</xdr:row>
      <xdr:rowOff>10940</xdr:rowOff>
    </xdr:to>
    <xdr:sp macro="" textlink="">
      <xdr:nvSpPr>
        <xdr:cNvPr id="106" name="TextBox 105">
          <a:extLst>
            <a:ext uri="{FF2B5EF4-FFF2-40B4-BE49-F238E27FC236}">
              <a16:creationId xmlns:a16="http://schemas.microsoft.com/office/drawing/2014/main" id="{9C7C5B3D-790F-4047-BFFB-D4955D76D890}"/>
            </a:ext>
          </a:extLst>
        </xdr:cNvPr>
        <xdr:cNvSpPr txBox="1"/>
      </xdr:nvSpPr>
      <xdr:spPr>
        <a:xfrm>
          <a:off x="205946" y="3220346"/>
          <a:ext cx="1087600" cy="126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kern="1200">
              <a:solidFill>
                <a:schemeClr val="bg1">
                  <a:lumMod val="75000"/>
                </a:schemeClr>
              </a:solidFill>
              <a:latin typeface="Bahnschrift SemiBold" panose="020B0502040204020203" pitchFamily="34" charset="0"/>
            </a:rPr>
            <a:t>Duration</a:t>
          </a:r>
        </a:p>
      </xdr:txBody>
    </xdr:sp>
    <xdr:clientData/>
  </xdr:twoCellAnchor>
  <xdr:twoCellAnchor editAs="oneCell">
    <xdr:from>
      <xdr:col>1</xdr:col>
      <xdr:colOff>54761</xdr:colOff>
      <xdr:row>17</xdr:row>
      <xdr:rowOff>84614</xdr:rowOff>
    </xdr:from>
    <xdr:to>
      <xdr:col>1</xdr:col>
      <xdr:colOff>169060</xdr:colOff>
      <xdr:row>18</xdr:row>
      <xdr:rowOff>10940</xdr:rowOff>
    </xdr:to>
    <xdr:pic>
      <xdr:nvPicPr>
        <xdr:cNvPr id="107" name="Graphic 106">
          <a:extLst>
            <a:ext uri="{FF2B5EF4-FFF2-40B4-BE49-F238E27FC236}">
              <a16:creationId xmlns:a16="http://schemas.microsoft.com/office/drawing/2014/main" id="{7D1DE66D-2499-401B-9194-3E506EA87FF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260707" y="3235587"/>
          <a:ext cx="114299" cy="111677"/>
        </a:xfrm>
        <a:prstGeom prst="rect">
          <a:avLst/>
        </a:prstGeom>
      </xdr:spPr>
    </xdr:pic>
    <xdr:clientData/>
  </xdr:twoCellAnchor>
  <xdr:twoCellAnchor>
    <xdr:from>
      <xdr:col>1</xdr:col>
      <xdr:colOff>0</xdr:colOff>
      <xdr:row>19</xdr:row>
      <xdr:rowOff>130332</xdr:rowOff>
    </xdr:from>
    <xdr:to>
      <xdr:col>2</xdr:col>
      <xdr:colOff>457200</xdr:colOff>
      <xdr:row>20</xdr:row>
      <xdr:rowOff>130333</xdr:rowOff>
    </xdr:to>
    <xdr:sp macro="" textlink="Pivots!C10">
      <xdr:nvSpPr>
        <xdr:cNvPr id="108" name="TextBox 107">
          <a:extLst>
            <a:ext uri="{FF2B5EF4-FFF2-40B4-BE49-F238E27FC236}">
              <a16:creationId xmlns:a16="http://schemas.microsoft.com/office/drawing/2014/main" id="{973719F8-B160-49D0-A5AA-096E8F3E00FD}"/>
            </a:ext>
          </a:extLst>
        </xdr:cNvPr>
        <xdr:cNvSpPr txBox="1"/>
      </xdr:nvSpPr>
      <xdr:spPr>
        <a:xfrm>
          <a:off x="205946" y="3652008"/>
          <a:ext cx="1064740" cy="185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BA83F2-29EF-4C84-AA95-3700328B8444}" type="TxLink">
            <a:rPr lang="en-US" sz="1100" b="0" i="0" u="none" strike="noStrike" kern="1200">
              <a:solidFill>
                <a:schemeClr val="bg1">
                  <a:lumMod val="75000"/>
                </a:schemeClr>
              </a:solidFill>
              <a:latin typeface="Trebuchet MS"/>
            </a:rPr>
            <a:pPr algn="ctr"/>
            <a:t>17,807</a:t>
          </a:fld>
          <a:endParaRPr lang="en-IN" sz="1100" kern="1200">
            <a:solidFill>
              <a:schemeClr val="bg1">
                <a:lumMod val="75000"/>
              </a:schemeClr>
            </a:solidFill>
          </a:endParaRPr>
        </a:p>
      </xdr:txBody>
    </xdr:sp>
    <xdr:clientData/>
  </xdr:twoCellAnchor>
  <xdr:twoCellAnchor>
    <xdr:from>
      <xdr:col>1</xdr:col>
      <xdr:colOff>0</xdr:colOff>
      <xdr:row>23</xdr:row>
      <xdr:rowOff>160018</xdr:rowOff>
    </xdr:from>
    <xdr:to>
      <xdr:col>2</xdr:col>
      <xdr:colOff>464820</xdr:colOff>
      <xdr:row>27</xdr:row>
      <xdr:rowOff>121918</xdr:rowOff>
    </xdr:to>
    <xdr:sp macro="" textlink="Pivots!D4">
      <xdr:nvSpPr>
        <xdr:cNvPr id="109" name="Rectangle 108">
          <a:extLst>
            <a:ext uri="{FF2B5EF4-FFF2-40B4-BE49-F238E27FC236}">
              <a16:creationId xmlns:a16="http://schemas.microsoft.com/office/drawing/2014/main" id="{B7FEAE71-4DD8-42F1-ABF1-60C6B1E6AB27}"/>
            </a:ext>
          </a:extLst>
        </xdr:cNvPr>
        <xdr:cNvSpPr/>
      </xdr:nvSpPr>
      <xdr:spPr>
        <a:xfrm>
          <a:off x="205946" y="4423099"/>
          <a:ext cx="1072360" cy="703305"/>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769B3F-5F5E-4674-9311-82EE7C40B459}" type="TxLink">
            <a:rPr lang="en-US" sz="1800" b="0" i="0" u="none" strike="noStrike" kern="1200">
              <a:solidFill>
                <a:schemeClr val="bg1"/>
              </a:solidFill>
              <a:latin typeface="Bahnschrift SemiBold" panose="020B0502040204020203" pitchFamily="34" charset="0"/>
            </a:rPr>
            <a:pPr algn="ctr"/>
            <a:t>3.9</a:t>
          </a:fld>
          <a:endParaRPr lang="en-IN" sz="1800" kern="1200">
            <a:solidFill>
              <a:schemeClr val="bg1"/>
            </a:solidFill>
            <a:latin typeface="Bahnschrift SemiBold" panose="020B0502040204020203" pitchFamily="34" charset="0"/>
          </a:endParaRPr>
        </a:p>
      </xdr:txBody>
    </xdr:sp>
    <xdr:clientData/>
  </xdr:twoCellAnchor>
  <xdr:twoCellAnchor>
    <xdr:from>
      <xdr:col>1</xdr:col>
      <xdr:colOff>0</xdr:colOff>
      <xdr:row>23</xdr:row>
      <xdr:rowOff>167638</xdr:rowOff>
    </xdr:from>
    <xdr:to>
      <xdr:col>2</xdr:col>
      <xdr:colOff>525780</xdr:colOff>
      <xdr:row>25</xdr:row>
      <xdr:rowOff>22858</xdr:rowOff>
    </xdr:to>
    <xdr:sp macro="" textlink="">
      <xdr:nvSpPr>
        <xdr:cNvPr id="110" name="TextBox 109">
          <a:extLst>
            <a:ext uri="{FF2B5EF4-FFF2-40B4-BE49-F238E27FC236}">
              <a16:creationId xmlns:a16="http://schemas.microsoft.com/office/drawing/2014/main" id="{E2C52EFF-123F-46BF-8241-06443C052658}"/>
            </a:ext>
          </a:extLst>
        </xdr:cNvPr>
        <xdr:cNvSpPr txBox="1"/>
      </xdr:nvSpPr>
      <xdr:spPr>
        <a:xfrm>
          <a:off x="205946" y="4430719"/>
          <a:ext cx="1133320" cy="225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kern="1200">
              <a:solidFill>
                <a:schemeClr val="bg1">
                  <a:lumMod val="75000"/>
                </a:schemeClr>
              </a:solidFill>
              <a:latin typeface="Bahnschrift SemiBold" panose="020B0502040204020203" pitchFamily="34" charset="0"/>
            </a:rPr>
            <a:t>Avg</a:t>
          </a:r>
          <a:r>
            <a:rPr lang="en-IN" sz="1100" kern="1200" baseline="0">
              <a:solidFill>
                <a:schemeClr val="bg1">
                  <a:lumMod val="75000"/>
                </a:schemeClr>
              </a:solidFill>
              <a:latin typeface="Bahnschrift SemiBold" panose="020B0502040204020203" pitchFamily="34" charset="0"/>
            </a:rPr>
            <a:t> Rating</a:t>
          </a:r>
          <a:endParaRPr lang="en-IN" sz="1100" kern="1200">
            <a:solidFill>
              <a:schemeClr val="bg1">
                <a:lumMod val="75000"/>
              </a:schemeClr>
            </a:solidFill>
            <a:latin typeface="Bahnschrift SemiBold" panose="020B0502040204020203" pitchFamily="34" charset="0"/>
          </a:endParaRPr>
        </a:p>
      </xdr:txBody>
    </xdr:sp>
    <xdr:clientData/>
  </xdr:twoCellAnchor>
  <xdr:twoCellAnchor editAs="oneCell">
    <xdr:from>
      <xdr:col>1</xdr:col>
      <xdr:colOff>77621</xdr:colOff>
      <xdr:row>24</xdr:row>
      <xdr:rowOff>38100</xdr:rowOff>
    </xdr:from>
    <xdr:to>
      <xdr:col>1</xdr:col>
      <xdr:colOff>191920</xdr:colOff>
      <xdr:row>24</xdr:row>
      <xdr:rowOff>152399</xdr:rowOff>
    </xdr:to>
    <xdr:pic>
      <xdr:nvPicPr>
        <xdr:cNvPr id="111" name="Graphic 110">
          <a:extLst>
            <a:ext uri="{FF2B5EF4-FFF2-40B4-BE49-F238E27FC236}">
              <a16:creationId xmlns:a16="http://schemas.microsoft.com/office/drawing/2014/main" id="{9EBF7915-22ED-4B9D-8238-1BFD579EE1A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83567" y="4486532"/>
          <a:ext cx="114299" cy="114299"/>
        </a:xfrm>
        <a:prstGeom prst="rect">
          <a:avLst/>
        </a:prstGeom>
      </xdr:spPr>
    </xdr:pic>
    <xdr:clientData/>
  </xdr:twoCellAnchor>
  <xdr:twoCellAnchor>
    <xdr:from>
      <xdr:col>1</xdr:col>
      <xdr:colOff>0</xdr:colOff>
      <xdr:row>26</xdr:row>
      <xdr:rowOff>99057</xdr:rowOff>
    </xdr:from>
    <xdr:to>
      <xdr:col>2</xdr:col>
      <xdr:colOff>457200</xdr:colOff>
      <xdr:row>27</xdr:row>
      <xdr:rowOff>99058</xdr:rowOff>
    </xdr:to>
    <xdr:sp macro="" textlink="Pivots!D10">
      <xdr:nvSpPr>
        <xdr:cNvPr id="112" name="TextBox 111">
          <a:extLst>
            <a:ext uri="{FF2B5EF4-FFF2-40B4-BE49-F238E27FC236}">
              <a16:creationId xmlns:a16="http://schemas.microsoft.com/office/drawing/2014/main" id="{B49A3A3B-6698-4D84-A533-1BBE0ED55101}"/>
            </a:ext>
          </a:extLst>
        </xdr:cNvPr>
        <xdr:cNvSpPr txBox="1"/>
      </xdr:nvSpPr>
      <xdr:spPr>
        <a:xfrm>
          <a:off x="205946" y="4918192"/>
          <a:ext cx="1064740" cy="185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D325EA-2F2F-44AA-A1D2-3B56EE200BC2}" type="TxLink">
            <a:rPr lang="en-US" sz="1100" b="0" i="0" u="none" strike="noStrike" kern="1200">
              <a:solidFill>
                <a:schemeClr val="bg1">
                  <a:lumMod val="75000"/>
                </a:schemeClr>
              </a:solidFill>
              <a:latin typeface="Trebuchet MS"/>
            </a:rPr>
            <a:pPr algn="ctr"/>
            <a:t>3.9</a:t>
          </a:fld>
          <a:endParaRPr lang="en-IN" sz="1100" kern="1200">
            <a:solidFill>
              <a:schemeClr val="bg1">
                <a:lumMod val="75000"/>
              </a:schemeClr>
            </a:solidFill>
          </a:endParaRPr>
        </a:p>
      </xdr:txBody>
    </xdr:sp>
    <xdr:clientData/>
  </xdr:twoCellAnchor>
  <xdr:twoCellAnchor>
    <xdr:from>
      <xdr:col>1</xdr:col>
      <xdr:colOff>0</xdr:colOff>
      <xdr:row>30</xdr:row>
      <xdr:rowOff>135079</xdr:rowOff>
    </xdr:from>
    <xdr:to>
      <xdr:col>2</xdr:col>
      <xdr:colOff>464820</xdr:colOff>
      <xdr:row>34</xdr:row>
      <xdr:rowOff>99603</xdr:rowOff>
    </xdr:to>
    <xdr:sp macro="" textlink="Pivots!E4">
      <xdr:nvSpPr>
        <xdr:cNvPr id="113" name="Rectangle 112">
          <a:extLst>
            <a:ext uri="{FF2B5EF4-FFF2-40B4-BE49-F238E27FC236}">
              <a16:creationId xmlns:a16="http://schemas.microsoft.com/office/drawing/2014/main" id="{77236E7C-BEEF-4E0C-B969-471D7AC11ECD}"/>
            </a:ext>
          </a:extLst>
        </xdr:cNvPr>
        <xdr:cNvSpPr/>
      </xdr:nvSpPr>
      <xdr:spPr>
        <a:xfrm>
          <a:off x="205946" y="5695620"/>
          <a:ext cx="1072360" cy="705929"/>
        </a:xfrm>
        <a:prstGeom prst="rect">
          <a:avLst/>
        </a:prstGeom>
        <a:solidFill>
          <a:srgbClr val="FF0000"/>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2C758F-BDC2-4B9C-B0B0-562A2061D979}" type="TxLink">
            <a:rPr lang="en-US" sz="1800" b="0" i="0" u="none" strike="noStrike" kern="1200">
              <a:solidFill>
                <a:schemeClr val="bg1"/>
              </a:solidFill>
              <a:latin typeface="Bahnschrift SemiBold" panose="020B0502040204020203" pitchFamily="34" charset="0"/>
            </a:rPr>
            <a:pPr algn="ctr"/>
            <a:t>307</a:t>
          </a:fld>
          <a:endParaRPr lang="en-IN" sz="1800" kern="1200">
            <a:solidFill>
              <a:schemeClr val="bg1"/>
            </a:solidFill>
            <a:latin typeface="Bahnschrift SemiBold" panose="020B0502040204020203" pitchFamily="34" charset="0"/>
          </a:endParaRPr>
        </a:p>
      </xdr:txBody>
    </xdr:sp>
    <xdr:clientData/>
  </xdr:twoCellAnchor>
  <xdr:twoCellAnchor>
    <xdr:from>
      <xdr:col>1</xdr:col>
      <xdr:colOff>0</xdr:colOff>
      <xdr:row>31</xdr:row>
      <xdr:rowOff>15782</xdr:rowOff>
    </xdr:from>
    <xdr:to>
      <xdr:col>2</xdr:col>
      <xdr:colOff>480060</xdr:colOff>
      <xdr:row>31</xdr:row>
      <xdr:rowOff>142701</xdr:rowOff>
    </xdr:to>
    <xdr:sp macro="" textlink="">
      <xdr:nvSpPr>
        <xdr:cNvPr id="114" name="TextBox 113">
          <a:extLst>
            <a:ext uri="{FF2B5EF4-FFF2-40B4-BE49-F238E27FC236}">
              <a16:creationId xmlns:a16="http://schemas.microsoft.com/office/drawing/2014/main" id="{FAC3279F-8AF6-47CB-8E58-CFBEE20EF10C}"/>
            </a:ext>
          </a:extLst>
        </xdr:cNvPr>
        <xdr:cNvSpPr txBox="1"/>
      </xdr:nvSpPr>
      <xdr:spPr>
        <a:xfrm>
          <a:off x="205946" y="5761674"/>
          <a:ext cx="1087600" cy="126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kern="1200">
              <a:solidFill>
                <a:schemeClr val="bg1">
                  <a:lumMod val="75000"/>
                </a:schemeClr>
              </a:solidFill>
              <a:latin typeface="Bahnschrift SemiBold" panose="020B0502040204020203" pitchFamily="34" charset="0"/>
            </a:rPr>
            <a:t>Happy</a:t>
          </a:r>
          <a:r>
            <a:rPr lang="en-IN" sz="1000" kern="1200" baseline="0">
              <a:solidFill>
                <a:schemeClr val="bg1">
                  <a:lumMod val="75000"/>
                </a:schemeClr>
              </a:solidFill>
              <a:latin typeface="Bahnschrift SemiBold" panose="020B0502040204020203" pitchFamily="34" charset="0"/>
            </a:rPr>
            <a:t> Callers</a:t>
          </a:r>
          <a:endParaRPr lang="en-IN" sz="1000" kern="1200">
            <a:solidFill>
              <a:schemeClr val="bg1">
                <a:lumMod val="75000"/>
              </a:schemeClr>
            </a:solidFill>
            <a:latin typeface="Bahnschrift SemiBold" panose="020B0502040204020203" pitchFamily="34" charset="0"/>
          </a:endParaRPr>
        </a:p>
      </xdr:txBody>
    </xdr:sp>
    <xdr:clientData/>
  </xdr:twoCellAnchor>
  <xdr:twoCellAnchor editAs="oneCell">
    <xdr:from>
      <xdr:col>1</xdr:col>
      <xdr:colOff>16661</xdr:colOff>
      <xdr:row>31</xdr:row>
      <xdr:rowOff>38643</xdr:rowOff>
    </xdr:from>
    <xdr:to>
      <xdr:col>1</xdr:col>
      <xdr:colOff>130960</xdr:colOff>
      <xdr:row>31</xdr:row>
      <xdr:rowOff>150321</xdr:rowOff>
    </xdr:to>
    <xdr:pic>
      <xdr:nvPicPr>
        <xdr:cNvPr id="115" name="Graphic 114">
          <a:extLst>
            <a:ext uri="{FF2B5EF4-FFF2-40B4-BE49-F238E27FC236}">
              <a16:creationId xmlns:a16="http://schemas.microsoft.com/office/drawing/2014/main" id="{44B0A112-C837-4DE5-A502-E253E563CB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22607" y="5784535"/>
          <a:ext cx="114299" cy="111678"/>
        </a:xfrm>
        <a:prstGeom prst="rect">
          <a:avLst/>
        </a:prstGeom>
      </xdr:spPr>
    </xdr:pic>
    <xdr:clientData/>
  </xdr:twoCellAnchor>
  <xdr:twoCellAnchor>
    <xdr:from>
      <xdr:col>1</xdr:col>
      <xdr:colOff>0</xdr:colOff>
      <xdr:row>33</xdr:row>
      <xdr:rowOff>76743</xdr:rowOff>
    </xdr:from>
    <xdr:to>
      <xdr:col>2</xdr:col>
      <xdr:colOff>457200</xdr:colOff>
      <xdr:row>34</xdr:row>
      <xdr:rowOff>76743</xdr:rowOff>
    </xdr:to>
    <xdr:sp macro="" textlink="Pivots!E10">
      <xdr:nvSpPr>
        <xdr:cNvPr id="116" name="TextBox 115">
          <a:extLst>
            <a:ext uri="{FF2B5EF4-FFF2-40B4-BE49-F238E27FC236}">
              <a16:creationId xmlns:a16="http://schemas.microsoft.com/office/drawing/2014/main" id="{A64EB177-B18A-42AB-AEAD-D271B802D46B}"/>
            </a:ext>
          </a:extLst>
        </xdr:cNvPr>
        <xdr:cNvSpPr txBox="1"/>
      </xdr:nvSpPr>
      <xdr:spPr>
        <a:xfrm>
          <a:off x="205946" y="6193338"/>
          <a:ext cx="1064740" cy="18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D47AB2-90BC-4289-B53D-0CCE8D389DB4}" type="TxLink">
            <a:rPr lang="en-US" sz="1100" b="0" i="0" u="none" strike="noStrike" kern="1200">
              <a:solidFill>
                <a:schemeClr val="bg1">
                  <a:lumMod val="75000"/>
                </a:schemeClr>
              </a:solidFill>
              <a:latin typeface="Trebuchet MS"/>
            </a:rPr>
            <a:pPr algn="ctr"/>
            <a:t>62</a:t>
          </a:fld>
          <a:endParaRPr lang="en-IN" sz="1100" kern="1200">
            <a:solidFill>
              <a:schemeClr val="bg1">
                <a:lumMod val="75000"/>
              </a:schemeClr>
            </a:solidFill>
          </a:endParaRPr>
        </a:p>
      </xdr:txBody>
    </xdr:sp>
    <xdr:clientData/>
  </xdr:twoCellAnchor>
  <xdr:twoCellAnchor editAs="oneCell">
    <xdr:from>
      <xdr:col>10</xdr:col>
      <xdr:colOff>243559</xdr:colOff>
      <xdr:row>15</xdr:row>
      <xdr:rowOff>93631</xdr:rowOff>
    </xdr:from>
    <xdr:to>
      <xdr:col>12</xdr:col>
      <xdr:colOff>286869</xdr:colOff>
      <xdr:row>24</xdr:row>
      <xdr:rowOff>169015</xdr:rowOff>
    </xdr:to>
    <mc:AlternateContent xmlns:mc="http://schemas.openxmlformats.org/markup-compatibility/2006" xmlns:a14="http://schemas.microsoft.com/office/drawing/2010/main">
      <mc:Choice Requires="a14">
        <xdr:graphicFrame macro="">
          <xdr:nvGraphicFramePr>
            <xdr:cNvPr id="121" name="Representative">
              <a:extLst>
                <a:ext uri="{FF2B5EF4-FFF2-40B4-BE49-F238E27FC236}">
                  <a16:creationId xmlns:a16="http://schemas.microsoft.com/office/drawing/2014/main" id="{53EFF0D9-E217-49C2-ADB5-111D34DAF09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917370" y="2873901"/>
              <a:ext cx="1258391" cy="1743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397113</xdr:colOff>
      <xdr:row>3</xdr:row>
      <xdr:rowOff>152529</xdr:rowOff>
    </xdr:from>
    <xdr:to>
      <xdr:col>12</xdr:col>
      <xdr:colOff>180258</xdr:colOff>
      <xdr:row>13</xdr:row>
      <xdr:rowOff>139290</xdr:rowOff>
    </xdr:to>
    <xdr:graphicFrame macro="">
      <xdr:nvGraphicFramePr>
        <xdr:cNvPr id="125" name="Chart 124">
          <a:extLst>
            <a:ext uri="{FF2B5EF4-FFF2-40B4-BE49-F238E27FC236}">
              <a16:creationId xmlns:a16="http://schemas.microsoft.com/office/drawing/2014/main" id="{70C50A6E-0D8E-4302-BE34-A04425A51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289560</xdr:colOff>
      <xdr:row>3</xdr:row>
      <xdr:rowOff>22861</xdr:rowOff>
    </xdr:from>
    <xdr:to>
      <xdr:col>9</xdr:col>
      <xdr:colOff>491613</xdr:colOff>
      <xdr:row>14</xdr:row>
      <xdr:rowOff>32774</xdr:rowOff>
    </xdr:to>
    <xdr:graphicFrame macro="">
      <xdr:nvGraphicFramePr>
        <xdr:cNvPr id="122" name="Chart 121">
          <a:extLst>
            <a:ext uri="{FF2B5EF4-FFF2-40B4-BE49-F238E27FC236}">
              <a16:creationId xmlns:a16="http://schemas.microsoft.com/office/drawing/2014/main" id="{1D459398-F9CA-4582-8863-8DEA6F484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150629</xdr:colOff>
      <xdr:row>15</xdr:row>
      <xdr:rowOff>16387</xdr:rowOff>
    </xdr:from>
    <xdr:to>
      <xdr:col>10</xdr:col>
      <xdr:colOff>318977</xdr:colOff>
      <xdr:row>34</xdr:row>
      <xdr:rowOff>164757</xdr:rowOff>
    </xdr:to>
    <xdr:graphicFrame macro="">
      <xdr:nvGraphicFramePr>
        <xdr:cNvPr id="127" name="Chart 126">
          <a:extLst>
            <a:ext uri="{FF2B5EF4-FFF2-40B4-BE49-F238E27FC236}">
              <a16:creationId xmlns:a16="http://schemas.microsoft.com/office/drawing/2014/main" id="{0F6FE8F8-DFA0-4E33-960E-3B24C8605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283534</xdr:colOff>
      <xdr:row>15</xdr:row>
      <xdr:rowOff>16388</xdr:rowOff>
    </xdr:from>
    <xdr:to>
      <xdr:col>7</xdr:col>
      <xdr:colOff>212651</xdr:colOff>
      <xdr:row>34</xdr:row>
      <xdr:rowOff>154459</xdr:rowOff>
    </xdr:to>
    <xdr:graphicFrame macro="">
      <xdr:nvGraphicFramePr>
        <xdr:cNvPr id="129" name="Chart 128">
          <a:extLst>
            <a:ext uri="{FF2B5EF4-FFF2-40B4-BE49-F238E27FC236}">
              <a16:creationId xmlns:a16="http://schemas.microsoft.com/office/drawing/2014/main" id="{0DD23350-248D-4976-893B-0242E0065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487326</xdr:colOff>
      <xdr:row>3</xdr:row>
      <xdr:rowOff>17722</xdr:rowOff>
    </xdr:from>
    <xdr:to>
      <xdr:col>17</xdr:col>
      <xdr:colOff>0</xdr:colOff>
      <xdr:row>14</xdr:row>
      <xdr:rowOff>24581</xdr:rowOff>
    </xdr:to>
    <xdr:graphicFrame macro="">
      <xdr:nvGraphicFramePr>
        <xdr:cNvPr id="130" name="Chart 129">
          <a:extLst>
            <a:ext uri="{FF2B5EF4-FFF2-40B4-BE49-F238E27FC236}">
              <a16:creationId xmlns:a16="http://schemas.microsoft.com/office/drawing/2014/main" id="{35D885DF-73A0-48D8-A99C-8728CA11D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106327</xdr:colOff>
      <xdr:row>3</xdr:row>
      <xdr:rowOff>2</xdr:rowOff>
    </xdr:from>
    <xdr:to>
      <xdr:col>21</xdr:col>
      <xdr:colOff>270387</xdr:colOff>
      <xdr:row>14</xdr:row>
      <xdr:rowOff>32774</xdr:rowOff>
    </xdr:to>
    <xdr:graphicFrame macro="">
      <xdr:nvGraphicFramePr>
        <xdr:cNvPr id="131" name="Chart 130">
          <a:extLst>
            <a:ext uri="{FF2B5EF4-FFF2-40B4-BE49-F238E27FC236}">
              <a16:creationId xmlns:a16="http://schemas.microsoft.com/office/drawing/2014/main" id="{0D73E7FA-AEF9-4DBE-B8D7-4EB426FC4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um" refreshedDate="45653.654033680556" backgroundQuery="1" createdVersion="8" refreshedVersion="8" minRefreshableVersion="3" recordCount="0" supportSubquery="1" supportAdvancedDrill="1" xr:uid="{EDD5F0E7-ABFB-4C80-92AF-66A14E9AA6BE}">
  <cacheSource type="external" connectionId="1"/>
  <cacheFields count="5">
    <cacheField name="[Measures].[Call Count]" caption="Call Count" numFmtId="0" hierarchy="17" level="32767"/>
    <cacheField name="[Measures].[Total Amount]" caption="Total Amount" numFmtId="0" hierarchy="18" level="32767"/>
    <cacheField name="[Measures].[Total Duration ]" caption="Total Duration "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 caption="Total Duration "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um" refreshedDate="45653.677182175925" backgroundQuery="1" createdVersion="8" refreshedVersion="8" minRefreshableVersion="3" recordCount="0" supportSubquery="1" supportAdvancedDrill="1" xr:uid="{247FA917-21C5-4EED-8624-49CD5557AEFE}">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 caption="Total Duration "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um" refreshedDate="45653.723122337964" backgroundQuery="1" createdVersion="8" refreshedVersion="8" minRefreshableVersion="3" recordCount="0" supportSubquery="1" supportAdvancedDrill="1" xr:uid="{21E3F250-ECD2-47C4-9D69-62A5CEDC9DA9}">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 caption="Total Duration "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um" refreshedDate="45653.73314895833" backgroundQuery="1" createdVersion="8" refreshedVersion="8" minRefreshableVersion="3" recordCount="0" supportSubquery="1" supportAdvancedDrill="1" xr:uid="{D38F1902-36EC-4422-978E-120AF491BAAD}">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 caption="Total Duration "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um" refreshedDate="45657.713940624999" backgroundQuery="1" createdVersion="8" refreshedVersion="8" minRefreshableVersion="3" recordCount="0" supportSubquery="1" supportAdvancedDrill="1" xr:uid="{2E798529-40B8-4CAE-AB55-4D3611923C45}">
  <cacheSource type="external" connectionId="1"/>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 caption="Total Duration "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um" refreshedDate="45700.616119791666" backgroundQuery="1" createdVersion="8" refreshedVersion="8" minRefreshableVersion="3" recordCount="0" supportSubquery="1" supportAdvancedDrill="1" xr:uid="{3C7C4FFC-B616-4659-B1EA-A3E8450E0837}">
  <cacheSource type="external" connectionId="1"/>
  <cacheFields count="6">
    <cacheField name="[Measures].[Call Count]" caption="Call Count" numFmtId="0" hierarchy="17" level="32767"/>
    <cacheField name="[Measures].[Total Amount]" caption="Total Amount" numFmtId="0" hierarchy="18" level="32767"/>
    <cacheField name="[Measures].[Total Duration ]" caption="Total Duration "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 caption="Total Duration "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um" refreshedDate="45700.616120486113" backgroundQuery="1" createdVersion="8" refreshedVersion="8" minRefreshableVersion="3" recordCount="0" supportSubquery="1" supportAdvancedDrill="1" xr:uid="{F27868DB-5BF0-43DC-A8A8-EEFF96133BEF}">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0T00:00:00" count="158">
        <d v="2023-01-03T00:00:00"/>
        <d v="2023-01-05T00:00:00"/>
        <d v="2023-01-15T00:00:00"/>
        <d v="2023-01-16T00:00:00"/>
        <d v="2023-01-18T00:00:00"/>
        <d v="2023-01-19T00:00:00"/>
        <d v="2023-01-21T00:00:00"/>
        <d v="2023-01-24T00:00:00"/>
        <d v="2023-01-27T00:00:00"/>
        <d v="2023-01-28T00:00:00"/>
        <d v="2023-01-30T00:00:00"/>
        <d v="2023-02-01T00:00:00"/>
        <d v="2023-02-08T00:00:00"/>
        <d v="2023-02-10T00:00:00"/>
        <d v="2023-02-12T00:00:00"/>
        <d v="2023-02-13T00:00:00"/>
        <d v="2023-02-15T00:00:00"/>
        <d v="2023-02-16T00:00:00"/>
        <d v="2023-02-17T00:00:00"/>
        <d v="2023-02-22T00:00:00"/>
        <d v="2023-02-25T00:00:00"/>
        <d v="2023-02-28T00:00:00"/>
        <d v="2023-03-01T00:00:00"/>
        <d v="2023-03-02T00:00:00"/>
        <d v="2023-03-03T00:00:00"/>
        <d v="2023-03-04T00:00:00"/>
        <d v="2023-03-05T00:00:00"/>
        <d v="2023-03-07T00:00:00"/>
        <d v="2023-03-09T00:00:00"/>
        <d v="2023-03-11T00:00:00"/>
        <d v="2023-03-12T00:00:00"/>
        <d v="2023-03-13T00:00:00"/>
        <d v="2023-03-14T00:00:00"/>
        <d v="2023-03-15T00:00:00"/>
        <d v="2023-03-18T00:00:00"/>
        <d v="2023-03-20T00:00:00"/>
        <d v="2023-03-21T00:00:00"/>
        <d v="2023-03-22T00:00:00"/>
        <d v="2023-03-24T00:00:00"/>
        <d v="2023-03-25T00:00:00"/>
        <d v="2023-03-27T00:00:00"/>
        <d v="2023-03-28T00:00:00"/>
        <d v="2023-03-29T00:00:00"/>
        <d v="2023-04-02T00:00:00"/>
        <d v="2023-04-03T00:00:00"/>
        <d v="2023-04-05T00:00:00"/>
        <d v="2023-04-06T00:00:00"/>
        <d v="2023-04-07T00:00:00"/>
        <d v="2023-04-08T00:00:00"/>
        <d v="2023-04-12T00:00:00"/>
        <d v="2023-04-15T00:00:00"/>
        <d v="2023-04-16T00:00:00"/>
        <d v="2023-04-17T00:00:00"/>
        <d v="2023-04-19T00:00:00"/>
        <d v="2023-04-21T00:00:00"/>
        <d v="2023-04-23T00:00:00"/>
        <d v="2023-04-24T00:00:00"/>
        <d v="2023-04-25T00:00:00"/>
        <d v="2023-04-29T00:00:00"/>
        <d v="2023-05-01T00:00:00"/>
        <d v="2023-05-02T00:00:00"/>
        <d v="2023-05-03T00:00:00"/>
        <d v="2023-05-04T00:00:00"/>
        <d v="2023-05-08T00:00:00"/>
        <d v="2023-05-12T00:00:00"/>
        <d v="2023-05-18T00:00:00"/>
        <d v="2023-05-19T00:00:00"/>
        <d v="2023-05-21T00:00:00"/>
        <d v="2023-05-22T00:00:00"/>
        <d v="2023-05-24T00:00:00"/>
        <d v="2023-05-25T00:00:00"/>
        <d v="2023-05-28T00:00:00"/>
        <d v="2023-05-30T00:00:00"/>
        <d v="2023-05-31T00:00:00"/>
        <d v="2023-06-01T00:00:00"/>
        <d v="2023-06-03T00:00:00"/>
        <d v="2023-06-04T00:00:00"/>
        <d v="2023-06-07T00:00:00"/>
        <d v="2023-06-09T00:00:00"/>
        <d v="2023-06-12T00:00:00"/>
        <d v="2023-06-15T00:00:00"/>
        <d v="2023-06-17T00:00:00"/>
        <d v="2023-06-18T00:00:00"/>
        <d v="2023-06-19T00:00:00"/>
        <d v="2023-06-21T00:00:00"/>
        <d v="2023-06-23T00:00:00"/>
        <d v="2023-06-25T00:00:00"/>
        <d v="2023-06-26T00:00:00"/>
        <d v="2023-07-04T00:00:00"/>
        <d v="2023-07-09T00:00:00"/>
        <d v="2023-07-10T00:00:00"/>
        <d v="2023-07-12T00:00:00"/>
        <d v="2023-07-19T00:00:00"/>
        <d v="2023-07-26T00:00:00"/>
        <d v="2023-07-27T00:00:00"/>
        <d v="2023-07-31T00:00:00"/>
        <d v="2023-08-03T00:00:00"/>
        <d v="2023-08-07T00:00:00"/>
        <d v="2023-08-10T00:00:00"/>
        <d v="2023-08-12T00:00:00"/>
        <d v="2023-08-20T00:00:00"/>
        <d v="2023-08-26T00:00:00"/>
        <d v="2023-08-27T00:00:00"/>
        <d v="2023-08-29T00:00:00"/>
        <d v="2023-09-01T00:00:00"/>
        <d v="2023-09-06T00:00:00"/>
        <d v="2023-09-07T00:00:00"/>
        <d v="2023-09-08T00:00:00"/>
        <d v="2023-09-09T00:00:00"/>
        <d v="2023-09-10T00:00:00"/>
        <d v="2023-09-12T00:00:00"/>
        <d v="2023-09-13T00:00:00"/>
        <d v="2023-09-19T00:00:00"/>
        <d v="2023-09-24T00:00:00"/>
        <d v="2023-09-30T00:00:00"/>
        <d v="2023-10-01T00:00:00"/>
        <d v="2023-10-02T00:00:00"/>
        <d v="2023-10-04T00:00:00"/>
        <d v="2023-10-06T00:00:00"/>
        <d v="2023-10-07T00:00:00"/>
        <d v="2023-10-08T00:00:00"/>
        <d v="2023-10-09T00:00:00"/>
        <d v="2023-10-10T00:00:00"/>
        <d v="2023-10-11T00:00:00"/>
        <d v="2023-10-14T00:00:00"/>
        <d v="2023-10-15T00:00:00"/>
        <d v="2023-10-16T00:00:00"/>
        <d v="2023-10-17T00:00:00"/>
        <d v="2023-10-18T00:00:00"/>
        <d v="2023-10-19T00:00:00"/>
        <d v="2023-10-22T00:00:00"/>
        <d v="2023-10-24T00:00:00"/>
        <d v="2023-10-28T00:00:00"/>
        <d v="2023-10-30T00:00:00"/>
        <d v="2023-10-31T00:00:00"/>
        <d v="2023-11-03T00:00:00"/>
        <d v="2023-11-07T00:00:00"/>
        <d v="2023-11-08T00:00:00"/>
        <d v="2023-11-13T00:00:00"/>
        <d v="2023-11-14T00:00:00"/>
        <d v="2023-11-15T00:00:00"/>
        <d v="2023-11-16T00:00:00"/>
        <d v="2023-11-17T00:00:00"/>
        <d v="2023-11-18T00:00:00"/>
        <d v="2023-11-20T00:00:00"/>
        <d v="2023-11-21T00:00:00"/>
        <d v="2023-11-23T00:00:00"/>
        <d v="2023-11-24T00:00:00"/>
        <d v="2023-11-29T00:00:00"/>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 caption="Total Duration "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um" refreshedDate="45700.616121180552" backgroundQuery="1" createdVersion="8" refreshedVersion="8" minRefreshableVersion="3" recordCount="0" supportSubquery="1" supportAdvancedDrill="1" xr:uid="{29B44DD3-A061-4738-8490-C361CC2EAC64}">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 caption="Total Duration "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um" refreshedDate="45700.616121874998" backgroundQuery="1" createdVersion="8" refreshedVersion="8" minRefreshableVersion="3" recordCount="0" supportSubquery="1" supportAdvancedDrill="1" xr:uid="{782F8EAF-0069-4543-9216-77B59D367965}">
  <cacheSource type="external" connectionId="1"/>
  <cacheFields count="1">
    <cacheField name="[calls].[Representative].[Representative]" caption="Representative" numFmtId="0" hierarchy="3" level="1">
      <sharedItems count="1">
        <s v="R04"/>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 caption="Total Duration "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um" refreshedDate="45700.616122569445" backgroundQuery="1" createdVersion="8" refreshedVersion="8" minRefreshableVersion="3" recordCount="0" supportSubquery="1" supportAdvancedDrill="1" xr:uid="{46BC4D0D-5C78-4D84-BFF2-148403680333}">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 caption="Total Duration "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um" refreshedDate="45653.654028009259" backgroundQuery="1" createdVersion="3" refreshedVersion="8" minRefreshableVersion="3" recordCount="0" supportSubquery="1" supportAdvancedDrill="1" xr:uid="{2BF50C77-CDB1-4CD3-A7EA-CE0293CA245E}">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 caption="Total Duration "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10561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BB7098-D93A-4698-9689-1D384899A634}" name="PivotTable7"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63:D68"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 "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662860-2978-4DE9-ADE8-F68D3C4CBA2F}" name="Monthly Trend"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6:C2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CBC2AD-53D5-489D-8B8F-D73B0DF6AC46}" name="Selected Rep pivot" cacheId="3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7:A5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0B59D8-C8E0-428B-B0E1-95CDEB71FC44}" name="Weekday Trend"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F16:G2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6"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C63C7B-9C65-4009-AF31-2BA07D63B695}" name="Reps Pivot"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5:C5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99DE65-DCCE-4B04-A457-C0F4C2D2362F}" name="Rep Amounts"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83:G102"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319A31-3644-417A-81D0-03F0955DB00E}" name="Rep Pivot"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0DF5CF-D6F6-4F1C-8186-4743C35375CC}" name="Summary pivot"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EE7CAE-0B35-4247-81AB-D7A054433231}"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2:D129" firstHeaderRow="1" firstDataRow="1" firstDataCol="0"/>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BFD7D0-6CBE-4224-9DDF-B66AEC9A3D41}" name="Rep Satisfaction"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3:B7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9F952B3-FA77-4149-B877-EA884E69A8D5}" sourceName="[calls].[Representative]">
  <pivotTables>
    <pivotTable tabId="6" name="Rep Pivot"/>
    <pivotTable tabId="6" name="Monthly Trend"/>
    <pivotTable tabId="6" name="Weekday Trend"/>
    <pivotTable tabId="6" name="Selected Rep pivot"/>
    <pivotTable tabId="6" name="Rep Satisfaction"/>
  </pivotTables>
  <data>
    <olap pivotCacheId="87105617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858101E-F920-468E-A207-516A3AB36C22}" cache="Slicer_Representative" caption="Representativ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M1003" totalsRowShown="0">
  <autoFilter ref="B3:M1003" xr:uid="{A3C59B71-D053-4B57-AB1E-899F1C5F06CA}"/>
  <tableColumns count="12">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 id="12" xr3:uid="{1400DBAE-3B1A-42AC-991B-9C86A969BED9}" name="Avg Duration" dataDxfId="10">
      <calculatedColumnFormula>AVERAGE(calls[[#This Row],[Duration]])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wn">
      <a:majorFont>
        <a:latin typeface="Tahoma"/>
        <a:ea typeface=""/>
        <a:cs typeface=""/>
      </a:majorFont>
      <a:minorFont>
        <a:latin typeface="Trebuchet M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sheetPr>
    <tabColor rgb="FF00B050"/>
  </sheetPr>
  <dimension ref="B1:T1003"/>
  <sheetViews>
    <sheetView zoomScale="97" zoomScaleNormal="115" workbookViewId="0">
      <selection activeCell="O9" sqref="O9"/>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M3" t="s">
        <v>1079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M4">
        <f>AVERAGE(calls[[#This Row],[Duration]])</f>
        <v>116</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M5">
        <f>AVERAGE(calls[[#This Row],[Duration]])</f>
        <v>119</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M6">
        <f>AVERAGE(calls[[#This Row],[Duration]])</f>
        <v>68</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M7">
        <f>AVERAGE(calls[[#This Row],[Duration]])</f>
        <v>119</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M8">
        <f>AVERAGE(calls[[#This Row],[Duration]])</f>
        <v>128</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M9">
        <f>AVERAGE(calls[[#This Row],[Duration]])</f>
        <v>49</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M10">
        <f>AVERAGE(calls[[#This Row],[Duration]])</f>
        <v>84</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M11">
        <f>AVERAGE(calls[[#This Row],[Duration]])</f>
        <v>103</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M12">
        <f>AVERAGE(calls[[#This Row],[Duration]])</f>
        <v>31</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M13">
        <f>AVERAGE(calls[[#This Row],[Duration]])</f>
        <v>44</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M14">
        <f>AVERAGE(calls[[#This Row],[Duration]])</f>
        <v>102</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M15">
        <f>AVERAGE(calls[[#This Row],[Duration]])</f>
        <v>135</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M16">
        <f>AVERAGE(calls[[#This Row],[Duration]])</f>
        <v>98</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M17">
        <f>AVERAGE(calls[[#This Row],[Duration]])</f>
        <v>139</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M18">
        <f>AVERAGE(calls[[#This Row],[Duration]])</f>
        <v>48</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c r="M19">
        <f>AVERAGE(calls[[#This Row],[Duration]])</f>
        <v>176</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c r="M20">
        <f>AVERAGE(calls[[#This Row],[Duration]])</f>
        <v>99</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c r="M21">
        <f>AVERAGE(calls[[#This Row],[Duration]])</f>
        <v>28</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c r="M22">
        <f>AVERAGE(calls[[#This Row],[Duration]])</f>
        <v>54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c r="M23">
        <f>AVERAGE(calls[[#This Row],[Duration]])</f>
        <v>48</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c r="M24">
        <f>AVERAGE(calls[[#This Row],[Duration]])</f>
        <v>128</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c r="M25">
        <f>AVERAGE(calls[[#This Row],[Duration]])</f>
        <v>38</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c r="M26">
        <f>AVERAGE(calls[[#This Row],[Duration]])</f>
        <v>67</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c r="M27">
        <f>AVERAGE(calls[[#This Row],[Duration]])</f>
        <v>58</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c r="M28">
        <f>AVERAGE(calls[[#This Row],[Duration]])</f>
        <v>54</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c r="M29">
        <f>AVERAGE(calls[[#This Row],[Duration]])</f>
        <v>28</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c r="M30">
        <f>AVERAGE(calls[[#This Row],[Duration]])</f>
        <v>73</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c r="M31">
        <f>AVERAGE(calls[[#This Row],[Duration]])</f>
        <v>81</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c r="M32">
        <f>AVERAGE(calls[[#This Row],[Duration]])</f>
        <v>31</v>
      </c>
    </row>
    <row r="33" spans="2:13"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c r="M33">
        <f>AVERAGE(calls[[#This Row],[Duration]])</f>
        <v>155</v>
      </c>
    </row>
    <row r="34" spans="2:13"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c r="M34">
        <f>AVERAGE(calls[[#This Row],[Duration]])</f>
        <v>80</v>
      </c>
    </row>
    <row r="35" spans="2:13"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c r="M35">
        <f>AVERAGE(calls[[#This Row],[Duration]])</f>
        <v>82</v>
      </c>
    </row>
    <row r="36" spans="2:13"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c r="M36">
        <f>AVERAGE(calls[[#This Row],[Duration]])</f>
        <v>29</v>
      </c>
    </row>
    <row r="37" spans="2:13"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c r="M37">
        <f>AVERAGE(calls[[#This Row],[Duration]])</f>
        <v>160</v>
      </c>
    </row>
    <row r="38" spans="2:13"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c r="M38">
        <f>AVERAGE(calls[[#This Row],[Duration]])</f>
        <v>105</v>
      </c>
    </row>
    <row r="39" spans="2:13"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c r="M39">
        <f>AVERAGE(calls[[#This Row],[Duration]])</f>
        <v>75</v>
      </c>
    </row>
    <row r="40" spans="2:13"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c r="M40">
        <f>AVERAGE(calls[[#This Row],[Duration]])</f>
        <v>94</v>
      </c>
    </row>
    <row r="41" spans="2:13"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c r="M41">
        <f>AVERAGE(calls[[#This Row],[Duration]])</f>
        <v>90</v>
      </c>
    </row>
    <row r="42" spans="2:13"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c r="M42">
        <f>AVERAGE(calls[[#This Row],[Duration]])</f>
        <v>81</v>
      </c>
    </row>
    <row r="43" spans="2:13"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c r="M43">
        <f>AVERAGE(calls[[#This Row],[Duration]])</f>
        <v>106</v>
      </c>
    </row>
    <row r="44" spans="2:13"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c r="M44">
        <f>AVERAGE(calls[[#This Row],[Duration]])</f>
        <v>74</v>
      </c>
    </row>
    <row r="45" spans="2:13"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c r="M45">
        <f>AVERAGE(calls[[#This Row],[Duration]])</f>
        <v>105</v>
      </c>
    </row>
    <row r="46" spans="2:13"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c r="M46">
        <f>AVERAGE(calls[[#This Row],[Duration]])</f>
        <v>89</v>
      </c>
    </row>
    <row r="47" spans="2:13"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c r="M47">
        <f>AVERAGE(calls[[#This Row],[Duration]])</f>
        <v>132</v>
      </c>
    </row>
    <row r="48" spans="2:13"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c r="M48">
        <f>AVERAGE(calls[[#This Row],[Duration]])</f>
        <v>105</v>
      </c>
    </row>
    <row r="49" spans="2:13"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c r="M49">
        <f>AVERAGE(calls[[#This Row],[Duration]])</f>
        <v>13</v>
      </c>
    </row>
    <row r="50" spans="2:13"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c r="M50">
        <f>AVERAGE(calls[[#This Row],[Duration]])</f>
        <v>131</v>
      </c>
    </row>
    <row r="51" spans="2:13"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c r="M51">
        <f>AVERAGE(calls[[#This Row],[Duration]])</f>
        <v>104</v>
      </c>
    </row>
    <row r="52" spans="2:13"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c r="M52">
        <f>AVERAGE(calls[[#This Row],[Duration]])</f>
        <v>90</v>
      </c>
    </row>
    <row r="53" spans="2:13"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c r="M53">
        <f>AVERAGE(calls[[#This Row],[Duration]])</f>
        <v>37</v>
      </c>
    </row>
    <row r="54" spans="2:13"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c r="M54">
        <f>AVERAGE(calls[[#This Row],[Duration]])</f>
        <v>149</v>
      </c>
    </row>
    <row r="55" spans="2:13"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c r="M55">
        <f>AVERAGE(calls[[#This Row],[Duration]])</f>
        <v>100</v>
      </c>
    </row>
    <row r="56" spans="2:13"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c r="M56">
        <f>AVERAGE(calls[[#This Row],[Duration]])</f>
        <v>79</v>
      </c>
    </row>
    <row r="57" spans="2:13"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c r="M57">
        <f>AVERAGE(calls[[#This Row],[Duration]])</f>
        <v>157</v>
      </c>
    </row>
    <row r="58" spans="2:13"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c r="M58">
        <f>AVERAGE(calls[[#This Row],[Duration]])</f>
        <v>59</v>
      </c>
    </row>
    <row r="59" spans="2:13"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c r="M59">
        <f>AVERAGE(calls[[#This Row],[Duration]])</f>
        <v>83</v>
      </c>
    </row>
    <row r="60" spans="2:13"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c r="M60">
        <f>AVERAGE(calls[[#This Row],[Duration]])</f>
        <v>58</v>
      </c>
    </row>
    <row r="61" spans="2:13"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c r="M61">
        <f>AVERAGE(calls[[#This Row],[Duration]])</f>
        <v>118</v>
      </c>
    </row>
    <row r="62" spans="2:13"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c r="M62">
        <f>AVERAGE(calls[[#This Row],[Duration]])</f>
        <v>63</v>
      </c>
    </row>
    <row r="63" spans="2:13"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c r="M63">
        <f>AVERAGE(calls[[#This Row],[Duration]])</f>
        <v>95</v>
      </c>
    </row>
    <row r="64" spans="2:13"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c r="M64">
        <f>AVERAGE(calls[[#This Row],[Duration]])</f>
        <v>74</v>
      </c>
    </row>
    <row r="65" spans="2:13"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c r="M65">
        <f>AVERAGE(calls[[#This Row],[Duration]])</f>
        <v>130</v>
      </c>
    </row>
    <row r="66" spans="2:13"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c r="M66">
        <f>AVERAGE(calls[[#This Row],[Duration]])</f>
        <v>110</v>
      </c>
    </row>
    <row r="67" spans="2:13"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c r="M67">
        <f>AVERAGE(calls[[#This Row],[Duration]])</f>
        <v>71</v>
      </c>
    </row>
    <row r="68" spans="2:13"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c r="M68">
        <f>AVERAGE(calls[[#This Row],[Duration]])</f>
        <v>147</v>
      </c>
    </row>
    <row r="69" spans="2:13"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c r="M69">
        <f>AVERAGE(calls[[#This Row],[Duration]])</f>
        <v>69</v>
      </c>
    </row>
    <row r="70" spans="2:13"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c r="M70">
        <f>AVERAGE(calls[[#This Row],[Duration]])</f>
        <v>50</v>
      </c>
    </row>
    <row r="71" spans="2:13"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c r="M71">
        <f>AVERAGE(calls[[#This Row],[Duration]])</f>
        <v>124</v>
      </c>
    </row>
    <row r="72" spans="2:13"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c r="M72">
        <f>AVERAGE(calls[[#This Row],[Duration]])</f>
        <v>81</v>
      </c>
    </row>
    <row r="73" spans="2:13"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c r="M73">
        <f>AVERAGE(calls[[#This Row],[Duration]])</f>
        <v>141</v>
      </c>
    </row>
    <row r="74" spans="2:13"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c r="M74">
        <f>AVERAGE(calls[[#This Row],[Duration]])</f>
        <v>168</v>
      </c>
    </row>
    <row r="75" spans="2:13"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c r="M75">
        <f>AVERAGE(calls[[#This Row],[Duration]])</f>
        <v>101</v>
      </c>
    </row>
    <row r="76" spans="2:13"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c r="M76">
        <f>AVERAGE(calls[[#This Row],[Duration]])</f>
        <v>67</v>
      </c>
    </row>
    <row r="77" spans="2:13"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c r="M77">
        <f>AVERAGE(calls[[#This Row],[Duration]])</f>
        <v>114</v>
      </c>
    </row>
    <row r="78" spans="2:13"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c r="M78">
        <f>AVERAGE(calls[[#This Row],[Duration]])</f>
        <v>42</v>
      </c>
    </row>
    <row r="79" spans="2:13"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c r="M79">
        <f>AVERAGE(calls[[#This Row],[Duration]])</f>
        <v>69</v>
      </c>
    </row>
    <row r="80" spans="2:13"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c r="M80">
        <f>AVERAGE(calls[[#This Row],[Duration]])</f>
        <v>145</v>
      </c>
    </row>
    <row r="81" spans="2:13"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c r="M81">
        <f>AVERAGE(calls[[#This Row],[Duration]])</f>
        <v>43</v>
      </c>
    </row>
    <row r="82" spans="2:13"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c r="M82">
        <f>AVERAGE(calls[[#This Row],[Duration]])</f>
        <v>62</v>
      </c>
    </row>
    <row r="83" spans="2:13"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c r="M83">
        <f>AVERAGE(calls[[#This Row],[Duration]])</f>
        <v>79</v>
      </c>
    </row>
    <row r="84" spans="2:13"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c r="M84">
        <f>AVERAGE(calls[[#This Row],[Duration]])</f>
        <v>45</v>
      </c>
    </row>
    <row r="85" spans="2:13"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c r="M85">
        <f>AVERAGE(calls[[#This Row],[Duration]])</f>
        <v>137</v>
      </c>
    </row>
    <row r="86" spans="2:13"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c r="M86">
        <f>AVERAGE(calls[[#This Row],[Duration]])</f>
        <v>109</v>
      </c>
    </row>
    <row r="87" spans="2:13"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c r="M87">
        <f>AVERAGE(calls[[#This Row],[Duration]])</f>
        <v>78</v>
      </c>
    </row>
    <row r="88" spans="2:13"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c r="M88">
        <f>AVERAGE(calls[[#This Row],[Duration]])</f>
        <v>137</v>
      </c>
    </row>
    <row r="89" spans="2:13"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c r="M89">
        <f>AVERAGE(calls[[#This Row],[Duration]])</f>
        <v>99</v>
      </c>
    </row>
    <row r="90" spans="2:13"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c r="M90">
        <f>AVERAGE(calls[[#This Row],[Duration]])</f>
        <v>100</v>
      </c>
    </row>
    <row r="91" spans="2:13"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c r="M91">
        <f>AVERAGE(calls[[#This Row],[Duration]])</f>
        <v>47</v>
      </c>
    </row>
    <row r="92" spans="2:13"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c r="M92">
        <f>AVERAGE(calls[[#This Row],[Duration]])</f>
        <v>87</v>
      </c>
    </row>
    <row r="93" spans="2:13"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c r="M93">
        <f>AVERAGE(calls[[#This Row],[Duration]])</f>
        <v>143</v>
      </c>
    </row>
    <row r="94" spans="2:13"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c r="M94">
        <f>AVERAGE(calls[[#This Row],[Duration]])</f>
        <v>84</v>
      </c>
    </row>
    <row r="95" spans="2:13"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c r="M95">
        <f>AVERAGE(calls[[#This Row],[Duration]])</f>
        <v>55</v>
      </c>
    </row>
    <row r="96" spans="2:13"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c r="M96">
        <f>AVERAGE(calls[[#This Row],[Duration]])</f>
        <v>135</v>
      </c>
    </row>
    <row r="97" spans="2:13"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c r="M97">
        <f>AVERAGE(calls[[#This Row],[Duration]])</f>
        <v>152</v>
      </c>
    </row>
    <row r="98" spans="2:13"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c r="M98">
        <f>AVERAGE(calls[[#This Row],[Duration]])</f>
        <v>132</v>
      </c>
    </row>
    <row r="99" spans="2:13"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c r="M99">
        <f>AVERAGE(calls[[#This Row],[Duration]])</f>
        <v>60</v>
      </c>
    </row>
    <row r="100" spans="2:13"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c r="M100">
        <f>AVERAGE(calls[[#This Row],[Duration]])</f>
        <v>95</v>
      </c>
    </row>
    <row r="101" spans="2:13"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c r="M101">
        <f>AVERAGE(calls[[#This Row],[Duration]])</f>
        <v>96</v>
      </c>
    </row>
    <row r="102" spans="2:13"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c r="M102">
        <f>AVERAGE(calls[[#This Row],[Duration]])</f>
        <v>45</v>
      </c>
    </row>
    <row r="103" spans="2:13"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c r="M103">
        <f>AVERAGE(calls[[#This Row],[Duration]])</f>
        <v>132</v>
      </c>
    </row>
    <row r="104" spans="2:13"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c r="M104">
        <f>AVERAGE(calls[[#This Row],[Duration]])</f>
        <v>95</v>
      </c>
    </row>
    <row r="105" spans="2:13"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c r="M105">
        <f>AVERAGE(calls[[#This Row],[Duration]])</f>
        <v>131</v>
      </c>
    </row>
    <row r="106" spans="2:13"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c r="M106">
        <f>AVERAGE(calls[[#This Row],[Duration]])</f>
        <v>67</v>
      </c>
    </row>
    <row r="107" spans="2:13"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c r="M107">
        <f>AVERAGE(calls[[#This Row],[Duration]])</f>
        <v>111</v>
      </c>
    </row>
    <row r="108" spans="2:13"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c r="M108">
        <f>AVERAGE(calls[[#This Row],[Duration]])</f>
        <v>78</v>
      </c>
    </row>
    <row r="109" spans="2:13"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c r="M109">
        <f>AVERAGE(calls[[#This Row],[Duration]])</f>
        <v>28</v>
      </c>
    </row>
    <row r="110" spans="2:13"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c r="M110">
        <f>AVERAGE(calls[[#This Row],[Duration]])</f>
        <v>127</v>
      </c>
    </row>
    <row r="111" spans="2:13"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c r="M111">
        <f>AVERAGE(calls[[#This Row],[Duration]])</f>
        <v>137</v>
      </c>
    </row>
    <row r="112" spans="2:13"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c r="M112">
        <f>AVERAGE(calls[[#This Row],[Duration]])</f>
        <v>76</v>
      </c>
    </row>
    <row r="113" spans="2:13"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c r="M113">
        <f>AVERAGE(calls[[#This Row],[Duration]])</f>
        <v>80</v>
      </c>
    </row>
    <row r="114" spans="2:13"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c r="M114">
        <f>AVERAGE(calls[[#This Row],[Duration]])</f>
        <v>95</v>
      </c>
    </row>
    <row r="115" spans="2:13"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c r="M115">
        <f>AVERAGE(calls[[#This Row],[Duration]])</f>
        <v>30</v>
      </c>
    </row>
    <row r="116" spans="2:13"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c r="M116">
        <f>AVERAGE(calls[[#This Row],[Duration]])</f>
        <v>19</v>
      </c>
    </row>
    <row r="117" spans="2:13"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c r="M117">
        <f>AVERAGE(calls[[#This Row],[Duration]])</f>
        <v>38</v>
      </c>
    </row>
    <row r="118" spans="2:13"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c r="M118">
        <f>AVERAGE(calls[[#This Row],[Duration]])</f>
        <v>55</v>
      </c>
    </row>
    <row r="119" spans="2:13"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c r="M119">
        <f>AVERAGE(calls[[#This Row],[Duration]])</f>
        <v>27</v>
      </c>
    </row>
    <row r="120" spans="2:13"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c r="M120">
        <f>AVERAGE(calls[[#This Row],[Duration]])</f>
        <v>32</v>
      </c>
    </row>
    <row r="121" spans="2:13"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c r="M121">
        <f>AVERAGE(calls[[#This Row],[Duration]])</f>
        <v>116</v>
      </c>
    </row>
    <row r="122" spans="2:13"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c r="M122">
        <f>AVERAGE(calls[[#This Row],[Duration]])</f>
        <v>99</v>
      </c>
    </row>
    <row r="123" spans="2:13"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c r="M123">
        <f>AVERAGE(calls[[#This Row],[Duration]])</f>
        <v>75</v>
      </c>
    </row>
    <row r="124" spans="2:13"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c r="M124">
        <f>AVERAGE(calls[[#This Row],[Duration]])</f>
        <v>57</v>
      </c>
    </row>
    <row r="125" spans="2:13"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c r="M125">
        <f>AVERAGE(calls[[#This Row],[Duration]])</f>
        <v>155</v>
      </c>
    </row>
    <row r="126" spans="2:13"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c r="M126">
        <f>AVERAGE(calls[[#This Row],[Duration]])</f>
        <v>68</v>
      </c>
    </row>
    <row r="127" spans="2:13"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c r="M127">
        <f>AVERAGE(calls[[#This Row],[Duration]])</f>
        <v>95</v>
      </c>
    </row>
    <row r="128" spans="2:13"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c r="M128">
        <f>AVERAGE(calls[[#This Row],[Duration]])</f>
        <v>65</v>
      </c>
    </row>
    <row r="129" spans="2:13"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c r="M129">
        <f>AVERAGE(calls[[#This Row],[Duration]])</f>
        <v>114</v>
      </c>
    </row>
    <row r="130" spans="2:13"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c r="M130">
        <f>AVERAGE(calls[[#This Row],[Duration]])</f>
        <v>155</v>
      </c>
    </row>
    <row r="131" spans="2:13"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c r="M131">
        <f>AVERAGE(calls[[#This Row],[Duration]])</f>
        <v>114</v>
      </c>
    </row>
    <row r="132" spans="2:13"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c r="M132">
        <f>AVERAGE(calls[[#This Row],[Duration]])</f>
        <v>130</v>
      </c>
    </row>
    <row r="133" spans="2:13"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c r="M133">
        <f>AVERAGE(calls[[#This Row],[Duration]])</f>
        <v>89</v>
      </c>
    </row>
    <row r="134" spans="2:13"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c r="M134">
        <f>AVERAGE(calls[[#This Row],[Duration]])</f>
        <v>61</v>
      </c>
    </row>
    <row r="135" spans="2:13"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c r="M135">
        <f>AVERAGE(calls[[#This Row],[Duration]])</f>
        <v>154</v>
      </c>
    </row>
    <row r="136" spans="2:13"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c r="M136">
        <f>AVERAGE(calls[[#This Row],[Duration]])</f>
        <v>115</v>
      </c>
    </row>
    <row r="137" spans="2:13"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c r="M137">
        <f>AVERAGE(calls[[#This Row],[Duration]])</f>
        <v>138</v>
      </c>
    </row>
    <row r="138" spans="2:13"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c r="M138">
        <f>AVERAGE(calls[[#This Row],[Duration]])</f>
        <v>153</v>
      </c>
    </row>
    <row r="139" spans="2:13"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c r="M139">
        <f>AVERAGE(calls[[#This Row],[Duration]])</f>
        <v>61</v>
      </c>
    </row>
    <row r="140" spans="2:13"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c r="M140">
        <f>AVERAGE(calls[[#This Row],[Duration]])</f>
        <v>62</v>
      </c>
    </row>
    <row r="141" spans="2:13"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c r="M141">
        <f>AVERAGE(calls[[#This Row],[Duration]])</f>
        <v>151</v>
      </c>
    </row>
    <row r="142" spans="2:13"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c r="M142">
        <f>AVERAGE(calls[[#This Row],[Duration]])</f>
        <v>102</v>
      </c>
    </row>
    <row r="143" spans="2:13"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c r="M143">
        <f>AVERAGE(calls[[#This Row],[Duration]])</f>
        <v>64</v>
      </c>
    </row>
    <row r="144" spans="2:13"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c r="M144">
        <f>AVERAGE(calls[[#This Row],[Duration]])</f>
        <v>6</v>
      </c>
    </row>
    <row r="145" spans="2:13"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c r="M145">
        <f>AVERAGE(calls[[#This Row],[Duration]])</f>
        <v>129</v>
      </c>
    </row>
    <row r="146" spans="2:13"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c r="M146">
        <f>AVERAGE(calls[[#This Row],[Duration]])</f>
        <v>42</v>
      </c>
    </row>
    <row r="147" spans="2:13"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c r="M147">
        <f>AVERAGE(calls[[#This Row],[Duration]])</f>
        <v>71</v>
      </c>
    </row>
    <row r="148" spans="2:13"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c r="M148">
        <f>AVERAGE(calls[[#This Row],[Duration]])</f>
        <v>53</v>
      </c>
    </row>
    <row r="149" spans="2:13"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c r="M149">
        <f>AVERAGE(calls[[#This Row],[Duration]])</f>
        <v>155</v>
      </c>
    </row>
    <row r="150" spans="2:13"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c r="M150">
        <f>AVERAGE(calls[[#This Row],[Duration]])</f>
        <v>90</v>
      </c>
    </row>
    <row r="151" spans="2:13"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c r="M151">
        <f>AVERAGE(calls[[#This Row],[Duration]])</f>
        <v>166</v>
      </c>
    </row>
    <row r="152" spans="2:13"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c r="M152">
        <f>AVERAGE(calls[[#This Row],[Duration]])</f>
        <v>89</v>
      </c>
    </row>
    <row r="153" spans="2:13"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c r="M153">
        <f>AVERAGE(calls[[#This Row],[Duration]])</f>
        <v>152</v>
      </c>
    </row>
    <row r="154" spans="2:13"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c r="M154">
        <f>AVERAGE(calls[[#This Row],[Duration]])</f>
        <v>137</v>
      </c>
    </row>
    <row r="155" spans="2:13"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c r="M155">
        <f>AVERAGE(calls[[#This Row],[Duration]])</f>
        <v>43</v>
      </c>
    </row>
    <row r="156" spans="2:13"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c r="M156">
        <f>AVERAGE(calls[[#This Row],[Duration]])</f>
        <v>114</v>
      </c>
    </row>
    <row r="157" spans="2:13"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c r="M157">
        <f>AVERAGE(calls[[#This Row],[Duration]])</f>
        <v>103</v>
      </c>
    </row>
    <row r="158" spans="2:13"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c r="M158">
        <f>AVERAGE(calls[[#This Row],[Duration]])</f>
        <v>98</v>
      </c>
    </row>
    <row r="159" spans="2:13"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c r="M159">
        <f>AVERAGE(calls[[#This Row],[Duration]])</f>
        <v>106</v>
      </c>
    </row>
    <row r="160" spans="2:13"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c r="M160">
        <f>AVERAGE(calls[[#This Row],[Duration]])</f>
        <v>96</v>
      </c>
    </row>
    <row r="161" spans="2:13"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c r="M161">
        <f>AVERAGE(calls[[#This Row],[Duration]])</f>
        <v>70</v>
      </c>
    </row>
    <row r="162" spans="2:13"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c r="M162">
        <f>AVERAGE(calls[[#This Row],[Duration]])</f>
        <v>86</v>
      </c>
    </row>
    <row r="163" spans="2:13"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c r="M163">
        <f>AVERAGE(calls[[#This Row],[Duration]])</f>
        <v>64</v>
      </c>
    </row>
    <row r="164" spans="2:13"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c r="M164">
        <f>AVERAGE(calls[[#This Row],[Duration]])</f>
        <v>113</v>
      </c>
    </row>
    <row r="165" spans="2:13"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c r="M165">
        <f>AVERAGE(calls[[#This Row],[Duration]])</f>
        <v>21</v>
      </c>
    </row>
    <row r="166" spans="2:13"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c r="M166">
        <f>AVERAGE(calls[[#This Row],[Duration]])</f>
        <v>107</v>
      </c>
    </row>
    <row r="167" spans="2:13"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c r="M167">
        <f>AVERAGE(calls[[#This Row],[Duration]])</f>
        <v>131</v>
      </c>
    </row>
    <row r="168" spans="2:13"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c r="M168">
        <f>AVERAGE(calls[[#This Row],[Duration]])</f>
        <v>11</v>
      </c>
    </row>
    <row r="169" spans="2:13"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c r="M169">
        <f>AVERAGE(calls[[#This Row],[Duration]])</f>
        <v>86</v>
      </c>
    </row>
    <row r="170" spans="2:13"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c r="M170">
        <f>AVERAGE(calls[[#This Row],[Duration]])</f>
        <v>28</v>
      </c>
    </row>
    <row r="171" spans="2:13"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c r="M171">
        <f>AVERAGE(calls[[#This Row],[Duration]])</f>
        <v>139</v>
      </c>
    </row>
    <row r="172" spans="2:13"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c r="M172">
        <f>AVERAGE(calls[[#This Row],[Duration]])</f>
        <v>82</v>
      </c>
    </row>
    <row r="173" spans="2:13"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c r="M173">
        <f>AVERAGE(calls[[#This Row],[Duration]])</f>
        <v>101</v>
      </c>
    </row>
    <row r="174" spans="2:13"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c r="M174">
        <f>AVERAGE(calls[[#This Row],[Duration]])</f>
        <v>75</v>
      </c>
    </row>
    <row r="175" spans="2:13"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c r="M175">
        <f>AVERAGE(calls[[#This Row],[Duration]])</f>
        <v>40</v>
      </c>
    </row>
    <row r="176" spans="2:13"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c r="M176">
        <f>AVERAGE(calls[[#This Row],[Duration]])</f>
        <v>86</v>
      </c>
    </row>
    <row r="177" spans="2:13"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c r="M177">
        <f>AVERAGE(calls[[#This Row],[Duration]])</f>
        <v>131</v>
      </c>
    </row>
    <row r="178" spans="2:13"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c r="M178">
        <f>AVERAGE(calls[[#This Row],[Duration]])</f>
        <v>67</v>
      </c>
    </row>
    <row r="179" spans="2:13"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c r="M179">
        <f>AVERAGE(calls[[#This Row],[Duration]])</f>
        <v>71</v>
      </c>
    </row>
    <row r="180" spans="2:13"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c r="M180">
        <f>AVERAGE(calls[[#This Row],[Duration]])</f>
        <v>113</v>
      </c>
    </row>
    <row r="181" spans="2:13"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c r="M181">
        <f>AVERAGE(calls[[#This Row],[Duration]])</f>
        <v>53</v>
      </c>
    </row>
    <row r="182" spans="2:13"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c r="M182">
        <f>AVERAGE(calls[[#This Row],[Duration]])</f>
        <v>153</v>
      </c>
    </row>
    <row r="183" spans="2:13"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c r="M183">
        <f>AVERAGE(calls[[#This Row],[Duration]])</f>
        <v>73</v>
      </c>
    </row>
    <row r="184" spans="2:13"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c r="M184">
        <f>AVERAGE(calls[[#This Row],[Duration]])</f>
        <v>62</v>
      </c>
    </row>
    <row r="185" spans="2:13"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c r="M185">
        <f>AVERAGE(calls[[#This Row],[Duration]])</f>
        <v>115</v>
      </c>
    </row>
    <row r="186" spans="2:13"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c r="M186">
        <f>AVERAGE(calls[[#This Row],[Duration]])</f>
        <v>69</v>
      </c>
    </row>
    <row r="187" spans="2:13"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c r="M187">
        <f>AVERAGE(calls[[#This Row],[Duration]])</f>
        <v>103</v>
      </c>
    </row>
    <row r="188" spans="2:13"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c r="M188">
        <f>AVERAGE(calls[[#This Row],[Duration]])</f>
        <v>75</v>
      </c>
    </row>
    <row r="189" spans="2:13"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c r="M189">
        <f>AVERAGE(calls[[#This Row],[Duration]])</f>
        <v>92</v>
      </c>
    </row>
    <row r="190" spans="2:13"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c r="M190">
        <f>AVERAGE(calls[[#This Row],[Duration]])</f>
        <v>41</v>
      </c>
    </row>
    <row r="191" spans="2:13"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c r="M191">
        <f>AVERAGE(calls[[#This Row],[Duration]])</f>
        <v>134</v>
      </c>
    </row>
    <row r="192" spans="2:13"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c r="M192">
        <f>AVERAGE(calls[[#This Row],[Duration]])</f>
        <v>80</v>
      </c>
    </row>
    <row r="193" spans="2:13"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c r="M193">
        <f>AVERAGE(calls[[#This Row],[Duration]])</f>
        <v>103</v>
      </c>
    </row>
    <row r="194" spans="2:13"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c r="M194">
        <f>AVERAGE(calls[[#This Row],[Duration]])</f>
        <v>20</v>
      </c>
    </row>
    <row r="195" spans="2:13"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c r="M195">
        <f>AVERAGE(calls[[#This Row],[Duration]])</f>
        <v>75</v>
      </c>
    </row>
    <row r="196" spans="2:13"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c r="M196">
        <f>AVERAGE(calls[[#This Row],[Duration]])</f>
        <v>80</v>
      </c>
    </row>
    <row r="197" spans="2:13"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c r="M197">
        <f>AVERAGE(calls[[#This Row],[Duration]])</f>
        <v>85</v>
      </c>
    </row>
    <row r="198" spans="2:13"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c r="M198">
        <f>AVERAGE(calls[[#This Row],[Duration]])</f>
        <v>155</v>
      </c>
    </row>
    <row r="199" spans="2:13"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c r="M199">
        <f>AVERAGE(calls[[#This Row],[Duration]])</f>
        <v>63</v>
      </c>
    </row>
    <row r="200" spans="2:13"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c r="M200">
        <f>AVERAGE(calls[[#This Row],[Duration]])</f>
        <v>105</v>
      </c>
    </row>
    <row r="201" spans="2:13"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c r="M201">
        <f>AVERAGE(calls[[#This Row],[Duration]])</f>
        <v>71</v>
      </c>
    </row>
    <row r="202" spans="2:13"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c r="M202">
        <f>AVERAGE(calls[[#This Row],[Duration]])</f>
        <v>100</v>
      </c>
    </row>
    <row r="203" spans="2:13"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c r="M203">
        <f>AVERAGE(calls[[#This Row],[Duration]])</f>
        <v>93</v>
      </c>
    </row>
    <row r="204" spans="2:13"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c r="M204">
        <f>AVERAGE(calls[[#This Row],[Duration]])</f>
        <v>84</v>
      </c>
    </row>
    <row r="205" spans="2:13"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c r="M205">
        <f>AVERAGE(calls[[#This Row],[Duration]])</f>
        <v>56</v>
      </c>
    </row>
    <row r="206" spans="2:13"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c r="M206">
        <f>AVERAGE(calls[[#This Row],[Duration]])</f>
        <v>63</v>
      </c>
    </row>
    <row r="207" spans="2:13"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c r="M207">
        <f>AVERAGE(calls[[#This Row],[Duration]])</f>
        <v>83</v>
      </c>
    </row>
    <row r="208" spans="2:13"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c r="M208">
        <f>AVERAGE(calls[[#This Row],[Duration]])</f>
        <v>134</v>
      </c>
    </row>
    <row r="209" spans="2:13"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c r="M209">
        <f>AVERAGE(calls[[#This Row],[Duration]])</f>
        <v>73</v>
      </c>
    </row>
    <row r="210" spans="2:13"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c r="M210">
        <f>AVERAGE(calls[[#This Row],[Duration]])</f>
        <v>6</v>
      </c>
    </row>
    <row r="211" spans="2:13"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c r="M211">
        <f>AVERAGE(calls[[#This Row],[Duration]])</f>
        <v>46</v>
      </c>
    </row>
    <row r="212" spans="2:13"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c r="M212">
        <f>AVERAGE(calls[[#This Row],[Duration]])</f>
        <v>121</v>
      </c>
    </row>
    <row r="213" spans="2:13"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c r="M213">
        <f>AVERAGE(calls[[#This Row],[Duration]])</f>
        <v>61</v>
      </c>
    </row>
    <row r="214" spans="2:13"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c r="M214">
        <f>AVERAGE(calls[[#This Row],[Duration]])</f>
        <v>144</v>
      </c>
    </row>
    <row r="215" spans="2:13"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c r="M215">
        <f>AVERAGE(calls[[#This Row],[Duration]])</f>
        <v>145</v>
      </c>
    </row>
    <row r="216" spans="2:13"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c r="M216">
        <f>AVERAGE(calls[[#This Row],[Duration]])</f>
        <v>85</v>
      </c>
    </row>
    <row r="217" spans="2:13"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c r="M217">
        <f>AVERAGE(calls[[#This Row],[Duration]])</f>
        <v>13</v>
      </c>
    </row>
    <row r="218" spans="2:13"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c r="M218">
        <f>AVERAGE(calls[[#This Row],[Duration]])</f>
        <v>142</v>
      </c>
    </row>
    <row r="219" spans="2:13"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c r="M219">
        <f>AVERAGE(calls[[#This Row],[Duration]])</f>
        <v>28</v>
      </c>
    </row>
    <row r="220" spans="2:13"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c r="M220">
        <f>AVERAGE(calls[[#This Row],[Duration]])</f>
        <v>119</v>
      </c>
    </row>
    <row r="221" spans="2:13"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c r="M221">
        <f>AVERAGE(calls[[#This Row],[Duration]])</f>
        <v>65</v>
      </c>
    </row>
    <row r="222" spans="2:13"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c r="M222">
        <f>AVERAGE(calls[[#This Row],[Duration]])</f>
        <v>68</v>
      </c>
    </row>
    <row r="223" spans="2:13"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c r="M223">
        <f>AVERAGE(calls[[#This Row],[Duration]])</f>
        <v>72</v>
      </c>
    </row>
    <row r="224" spans="2:13"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c r="M224">
        <f>AVERAGE(calls[[#This Row],[Duration]])</f>
        <v>63</v>
      </c>
    </row>
    <row r="225" spans="2:13"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c r="M225">
        <f>AVERAGE(calls[[#This Row],[Duration]])</f>
        <v>139</v>
      </c>
    </row>
    <row r="226" spans="2:13"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c r="M226">
        <f>AVERAGE(calls[[#This Row],[Duration]])</f>
        <v>59</v>
      </c>
    </row>
    <row r="227" spans="2:13"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c r="M227">
        <f>AVERAGE(calls[[#This Row],[Duration]])</f>
        <v>138</v>
      </c>
    </row>
    <row r="228" spans="2:13"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c r="M228">
        <f>AVERAGE(calls[[#This Row],[Duration]])</f>
        <v>47</v>
      </c>
    </row>
    <row r="229" spans="2:13"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c r="M229">
        <f>AVERAGE(calls[[#This Row],[Duration]])</f>
        <v>74</v>
      </c>
    </row>
    <row r="230" spans="2:13"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c r="M230">
        <f>AVERAGE(calls[[#This Row],[Duration]])</f>
        <v>65</v>
      </c>
    </row>
    <row r="231" spans="2:13"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c r="M231">
        <f>AVERAGE(calls[[#This Row],[Duration]])</f>
        <v>123</v>
      </c>
    </row>
    <row r="232" spans="2:13"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c r="M232">
        <f>AVERAGE(calls[[#This Row],[Duration]])</f>
        <v>90</v>
      </c>
    </row>
    <row r="233" spans="2:13"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c r="M233">
        <f>AVERAGE(calls[[#This Row],[Duration]])</f>
        <v>127</v>
      </c>
    </row>
    <row r="234" spans="2:13"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c r="M234">
        <f>AVERAGE(calls[[#This Row],[Duration]])</f>
        <v>60</v>
      </c>
    </row>
    <row r="235" spans="2:13"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c r="M235">
        <f>AVERAGE(calls[[#This Row],[Duration]])</f>
        <v>94</v>
      </c>
    </row>
    <row r="236" spans="2:13"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c r="M236">
        <f>AVERAGE(calls[[#This Row],[Duration]])</f>
        <v>54</v>
      </c>
    </row>
    <row r="237" spans="2:13"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c r="M237">
        <f>AVERAGE(calls[[#This Row],[Duration]])</f>
        <v>104</v>
      </c>
    </row>
    <row r="238" spans="2:13"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c r="M238">
        <f>AVERAGE(calls[[#This Row],[Duration]])</f>
        <v>100</v>
      </c>
    </row>
    <row r="239" spans="2:13"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c r="M239">
        <f>AVERAGE(calls[[#This Row],[Duration]])</f>
        <v>84</v>
      </c>
    </row>
    <row r="240" spans="2:13"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c r="M240">
        <f>AVERAGE(calls[[#This Row],[Duration]])</f>
        <v>92</v>
      </c>
    </row>
    <row r="241" spans="2:13"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c r="M241">
        <f>AVERAGE(calls[[#This Row],[Duration]])</f>
        <v>64</v>
      </c>
    </row>
    <row r="242" spans="2:13"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c r="M242">
        <f>AVERAGE(calls[[#This Row],[Duration]])</f>
        <v>89</v>
      </c>
    </row>
    <row r="243" spans="2:13"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c r="M243">
        <f>AVERAGE(calls[[#This Row],[Duration]])</f>
        <v>40</v>
      </c>
    </row>
    <row r="244" spans="2:13"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c r="M244">
        <f>AVERAGE(calls[[#This Row],[Duration]])</f>
        <v>75</v>
      </c>
    </row>
    <row r="245" spans="2:13"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c r="M245">
        <f>AVERAGE(calls[[#This Row],[Duration]])</f>
        <v>106</v>
      </c>
    </row>
    <row r="246" spans="2:13"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c r="M246">
        <f>AVERAGE(calls[[#This Row],[Duration]])</f>
        <v>58</v>
      </c>
    </row>
    <row r="247" spans="2:13"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c r="M247">
        <f>AVERAGE(calls[[#This Row],[Duration]])</f>
        <v>84</v>
      </c>
    </row>
    <row r="248" spans="2:13"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c r="M248">
        <f>AVERAGE(calls[[#This Row],[Duration]])</f>
        <v>140</v>
      </c>
    </row>
    <row r="249" spans="2:13"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c r="M249">
        <f>AVERAGE(calls[[#This Row],[Duration]])</f>
        <v>67</v>
      </c>
    </row>
    <row r="250" spans="2:13"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c r="M250">
        <f>AVERAGE(calls[[#This Row],[Duration]])</f>
        <v>126</v>
      </c>
    </row>
    <row r="251" spans="2:13"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c r="M251">
        <f>AVERAGE(calls[[#This Row],[Duration]])</f>
        <v>89</v>
      </c>
    </row>
    <row r="252" spans="2:13"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c r="M252">
        <f>AVERAGE(calls[[#This Row],[Duration]])</f>
        <v>56</v>
      </c>
    </row>
    <row r="253" spans="2:13"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c r="M253">
        <f>AVERAGE(calls[[#This Row],[Duration]])</f>
        <v>48</v>
      </c>
    </row>
    <row r="254" spans="2:13"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c r="M254">
        <f>AVERAGE(calls[[#This Row],[Duration]])</f>
        <v>55</v>
      </c>
    </row>
    <row r="255" spans="2:13"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c r="M255">
        <f>AVERAGE(calls[[#This Row],[Duration]])</f>
        <v>88</v>
      </c>
    </row>
    <row r="256" spans="2:13"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c r="M256">
        <f>AVERAGE(calls[[#This Row],[Duration]])</f>
        <v>102</v>
      </c>
    </row>
    <row r="257" spans="2:13"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c r="M257">
        <f>AVERAGE(calls[[#This Row],[Duration]])</f>
        <v>155</v>
      </c>
    </row>
    <row r="258" spans="2:13"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c r="M258">
        <f>AVERAGE(calls[[#This Row],[Duration]])</f>
        <v>63</v>
      </c>
    </row>
    <row r="259" spans="2:13"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c r="M259">
        <f>AVERAGE(calls[[#This Row],[Duration]])</f>
        <v>59</v>
      </c>
    </row>
    <row r="260" spans="2:13"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c r="M260">
        <f>AVERAGE(calls[[#This Row],[Duration]])</f>
        <v>144</v>
      </c>
    </row>
    <row r="261" spans="2:13"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c r="M261">
        <f>AVERAGE(calls[[#This Row],[Duration]])</f>
        <v>113</v>
      </c>
    </row>
    <row r="262" spans="2:13"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c r="M262">
        <f>AVERAGE(calls[[#This Row],[Duration]])</f>
        <v>154</v>
      </c>
    </row>
    <row r="263" spans="2:13"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c r="M263">
        <f>AVERAGE(calls[[#This Row],[Duration]])</f>
        <v>58</v>
      </c>
    </row>
    <row r="264" spans="2:13"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c r="M264">
        <f>AVERAGE(calls[[#This Row],[Duration]])</f>
        <v>63</v>
      </c>
    </row>
    <row r="265" spans="2:13"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c r="M265">
        <f>AVERAGE(calls[[#This Row],[Duration]])</f>
        <v>59</v>
      </c>
    </row>
    <row r="266" spans="2:13"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c r="M266">
        <f>AVERAGE(calls[[#This Row],[Duration]])</f>
        <v>129</v>
      </c>
    </row>
    <row r="267" spans="2:13"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c r="M267">
        <f>AVERAGE(calls[[#This Row],[Duration]])</f>
        <v>101</v>
      </c>
    </row>
    <row r="268" spans="2:13"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c r="M268">
        <f>AVERAGE(calls[[#This Row],[Duration]])</f>
        <v>154</v>
      </c>
    </row>
    <row r="269" spans="2:13"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c r="M269">
        <f>AVERAGE(calls[[#This Row],[Duration]])</f>
        <v>131</v>
      </c>
    </row>
    <row r="270" spans="2:13"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c r="M270">
        <f>AVERAGE(calls[[#This Row],[Duration]])</f>
        <v>111</v>
      </c>
    </row>
    <row r="271" spans="2:13"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c r="M271">
        <f>AVERAGE(calls[[#This Row],[Duration]])</f>
        <v>142</v>
      </c>
    </row>
    <row r="272" spans="2:13"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c r="M272">
        <f>AVERAGE(calls[[#This Row],[Duration]])</f>
        <v>93</v>
      </c>
    </row>
    <row r="273" spans="2:13"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c r="M273">
        <f>AVERAGE(calls[[#This Row],[Duration]])</f>
        <v>125</v>
      </c>
    </row>
    <row r="274" spans="2:13"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c r="M274">
        <f>AVERAGE(calls[[#This Row],[Duration]])</f>
        <v>76</v>
      </c>
    </row>
    <row r="275" spans="2:13"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c r="M275">
        <f>AVERAGE(calls[[#This Row],[Duration]])</f>
        <v>69</v>
      </c>
    </row>
    <row r="276" spans="2:13"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c r="M276">
        <f>AVERAGE(calls[[#This Row],[Duration]])</f>
        <v>149</v>
      </c>
    </row>
    <row r="277" spans="2:13"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c r="M277">
        <f>AVERAGE(calls[[#This Row],[Duration]])</f>
        <v>57</v>
      </c>
    </row>
    <row r="278" spans="2:13"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c r="M278">
        <f>AVERAGE(calls[[#This Row],[Duration]])</f>
        <v>113</v>
      </c>
    </row>
    <row r="279" spans="2:13"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c r="M279">
        <f>AVERAGE(calls[[#This Row],[Duration]])</f>
        <v>160</v>
      </c>
    </row>
    <row r="280" spans="2:13"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c r="M280">
        <f>AVERAGE(calls[[#This Row],[Duration]])</f>
        <v>158</v>
      </c>
    </row>
    <row r="281" spans="2:13"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c r="M281">
        <f>AVERAGE(calls[[#This Row],[Duration]])</f>
        <v>77</v>
      </c>
    </row>
    <row r="282" spans="2:13"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c r="M282">
        <f>AVERAGE(calls[[#This Row],[Duration]])</f>
        <v>118</v>
      </c>
    </row>
    <row r="283" spans="2:13"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c r="M283">
        <f>AVERAGE(calls[[#This Row],[Duration]])</f>
        <v>75</v>
      </c>
    </row>
    <row r="284" spans="2:13"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c r="M284">
        <f>AVERAGE(calls[[#This Row],[Duration]])</f>
        <v>103</v>
      </c>
    </row>
    <row r="285" spans="2:13"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c r="M285">
        <f>AVERAGE(calls[[#This Row],[Duration]])</f>
        <v>116</v>
      </c>
    </row>
    <row r="286" spans="2:13"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c r="M286">
        <f>AVERAGE(calls[[#This Row],[Duration]])</f>
        <v>61</v>
      </c>
    </row>
    <row r="287" spans="2:13"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c r="M287">
        <f>AVERAGE(calls[[#This Row],[Duration]])</f>
        <v>126</v>
      </c>
    </row>
    <row r="288" spans="2:13"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c r="M288">
        <f>AVERAGE(calls[[#This Row],[Duration]])</f>
        <v>141</v>
      </c>
    </row>
    <row r="289" spans="2:13"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c r="M289">
        <f>AVERAGE(calls[[#This Row],[Duration]])</f>
        <v>95</v>
      </c>
    </row>
    <row r="290" spans="2:13"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c r="M290">
        <f>AVERAGE(calls[[#This Row],[Duration]])</f>
        <v>39</v>
      </c>
    </row>
    <row r="291" spans="2:13"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c r="M291">
        <f>AVERAGE(calls[[#This Row],[Duration]])</f>
        <v>127</v>
      </c>
    </row>
    <row r="292" spans="2:13"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c r="M292">
        <f>AVERAGE(calls[[#This Row],[Duration]])</f>
        <v>78</v>
      </c>
    </row>
    <row r="293" spans="2:13"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c r="M293">
        <f>AVERAGE(calls[[#This Row],[Duration]])</f>
        <v>40</v>
      </c>
    </row>
    <row r="294" spans="2:13"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c r="M294">
        <f>AVERAGE(calls[[#This Row],[Duration]])</f>
        <v>56</v>
      </c>
    </row>
    <row r="295" spans="2:13"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c r="M295">
        <f>AVERAGE(calls[[#This Row],[Duration]])</f>
        <v>59</v>
      </c>
    </row>
    <row r="296" spans="2:13"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c r="M296">
        <f>AVERAGE(calls[[#This Row],[Duration]])</f>
        <v>30</v>
      </c>
    </row>
    <row r="297" spans="2:13"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c r="M297">
        <f>AVERAGE(calls[[#This Row],[Duration]])</f>
        <v>63</v>
      </c>
    </row>
    <row r="298" spans="2:13"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c r="M298">
        <f>AVERAGE(calls[[#This Row],[Duration]])</f>
        <v>56</v>
      </c>
    </row>
    <row r="299" spans="2:13"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c r="M299">
        <f>AVERAGE(calls[[#This Row],[Duration]])</f>
        <v>95</v>
      </c>
    </row>
    <row r="300" spans="2:13"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c r="M300">
        <f>AVERAGE(calls[[#This Row],[Duration]])</f>
        <v>128</v>
      </c>
    </row>
    <row r="301" spans="2:13"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c r="M301">
        <f>AVERAGE(calls[[#This Row],[Duration]])</f>
        <v>49</v>
      </c>
    </row>
    <row r="302" spans="2:13"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c r="M302">
        <f>AVERAGE(calls[[#This Row],[Duration]])</f>
        <v>89</v>
      </c>
    </row>
    <row r="303" spans="2:13"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c r="M303">
        <f>AVERAGE(calls[[#This Row],[Duration]])</f>
        <v>87</v>
      </c>
    </row>
    <row r="304" spans="2:13"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c r="M304">
        <f>AVERAGE(calls[[#This Row],[Duration]])</f>
        <v>60</v>
      </c>
    </row>
    <row r="305" spans="2:13"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c r="M305">
        <f>AVERAGE(calls[[#This Row],[Duration]])</f>
        <v>42</v>
      </c>
    </row>
    <row r="306" spans="2:13"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c r="M306">
        <f>AVERAGE(calls[[#This Row],[Duration]])</f>
        <v>99</v>
      </c>
    </row>
    <row r="307" spans="2:13"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c r="M307">
        <f>AVERAGE(calls[[#This Row],[Duration]])</f>
        <v>20</v>
      </c>
    </row>
    <row r="308" spans="2:13"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c r="M308">
        <f>AVERAGE(calls[[#This Row],[Duration]])</f>
        <v>65</v>
      </c>
    </row>
    <row r="309" spans="2:13"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c r="M309">
        <f>AVERAGE(calls[[#This Row],[Duration]])</f>
        <v>71</v>
      </c>
    </row>
    <row r="310" spans="2:13"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c r="M310">
        <f>AVERAGE(calls[[#This Row],[Duration]])</f>
        <v>95</v>
      </c>
    </row>
    <row r="311" spans="2:13"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c r="M311">
        <f>AVERAGE(calls[[#This Row],[Duration]])</f>
        <v>81</v>
      </c>
    </row>
    <row r="312" spans="2:13"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c r="M312">
        <f>AVERAGE(calls[[#This Row],[Duration]])</f>
        <v>137</v>
      </c>
    </row>
    <row r="313" spans="2:13"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c r="M313">
        <f>AVERAGE(calls[[#This Row],[Duration]])</f>
        <v>40</v>
      </c>
    </row>
    <row r="314" spans="2:13"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c r="M314">
        <f>AVERAGE(calls[[#This Row],[Duration]])</f>
        <v>111</v>
      </c>
    </row>
    <row r="315" spans="2:13"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c r="M315">
        <f>AVERAGE(calls[[#This Row],[Duration]])</f>
        <v>106</v>
      </c>
    </row>
    <row r="316" spans="2:13"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c r="M316">
        <f>AVERAGE(calls[[#This Row],[Duration]])</f>
        <v>133</v>
      </c>
    </row>
    <row r="317" spans="2:13"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c r="M317">
        <f>AVERAGE(calls[[#This Row],[Duration]])</f>
        <v>38</v>
      </c>
    </row>
    <row r="318" spans="2:13"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c r="M318">
        <f>AVERAGE(calls[[#This Row],[Duration]])</f>
        <v>130</v>
      </c>
    </row>
    <row r="319" spans="2:13"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c r="M319">
        <f>AVERAGE(calls[[#This Row],[Duration]])</f>
        <v>23</v>
      </c>
    </row>
    <row r="320" spans="2:13"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c r="M320">
        <f>AVERAGE(calls[[#This Row],[Duration]])</f>
        <v>124</v>
      </c>
    </row>
    <row r="321" spans="2:13"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c r="M321">
        <f>AVERAGE(calls[[#This Row],[Duration]])</f>
        <v>107</v>
      </c>
    </row>
    <row r="322" spans="2:13"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c r="M322">
        <f>AVERAGE(calls[[#This Row],[Duration]])</f>
        <v>60</v>
      </c>
    </row>
    <row r="323" spans="2:13"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c r="M323">
        <f>AVERAGE(calls[[#This Row],[Duration]])</f>
        <v>158</v>
      </c>
    </row>
    <row r="324" spans="2:13"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c r="M324">
        <f>AVERAGE(calls[[#This Row],[Duration]])</f>
        <v>110</v>
      </c>
    </row>
    <row r="325" spans="2:13"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c r="M325">
        <f>AVERAGE(calls[[#This Row],[Duration]])</f>
        <v>70</v>
      </c>
    </row>
    <row r="326" spans="2:13"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c r="M326">
        <f>AVERAGE(calls[[#This Row],[Duration]])</f>
        <v>150</v>
      </c>
    </row>
    <row r="327" spans="2:13"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c r="M327">
        <f>AVERAGE(calls[[#This Row],[Duration]])</f>
        <v>36</v>
      </c>
    </row>
    <row r="328" spans="2:13"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c r="M328">
        <f>AVERAGE(calls[[#This Row],[Duration]])</f>
        <v>74</v>
      </c>
    </row>
    <row r="329" spans="2:13"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c r="M329">
        <f>AVERAGE(calls[[#This Row],[Duration]])</f>
        <v>75</v>
      </c>
    </row>
    <row r="330" spans="2:13"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c r="M330">
        <f>AVERAGE(calls[[#This Row],[Duration]])</f>
        <v>70</v>
      </c>
    </row>
    <row r="331" spans="2:13"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c r="M331">
        <f>AVERAGE(calls[[#This Row],[Duration]])</f>
        <v>23</v>
      </c>
    </row>
    <row r="332" spans="2:13"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c r="M332">
        <f>AVERAGE(calls[[#This Row],[Duration]])</f>
        <v>104</v>
      </c>
    </row>
    <row r="333" spans="2:13"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c r="M333">
        <f>AVERAGE(calls[[#This Row],[Duration]])</f>
        <v>95</v>
      </c>
    </row>
    <row r="334" spans="2:13"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c r="M334">
        <f>AVERAGE(calls[[#This Row],[Duration]])</f>
        <v>49</v>
      </c>
    </row>
    <row r="335" spans="2:13"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c r="M335">
        <f>AVERAGE(calls[[#This Row],[Duration]])</f>
        <v>8</v>
      </c>
    </row>
    <row r="336" spans="2:13"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c r="M336">
        <f>AVERAGE(calls[[#This Row],[Duration]])</f>
        <v>157</v>
      </c>
    </row>
    <row r="337" spans="2:13"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c r="M337">
        <f>AVERAGE(calls[[#This Row],[Duration]])</f>
        <v>74</v>
      </c>
    </row>
    <row r="338" spans="2:13"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c r="M338">
        <f>AVERAGE(calls[[#This Row],[Duration]])</f>
        <v>72</v>
      </c>
    </row>
    <row r="339" spans="2:13"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c r="M339">
        <f>AVERAGE(calls[[#This Row],[Duration]])</f>
        <v>79</v>
      </c>
    </row>
    <row r="340" spans="2:13"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c r="M340">
        <f>AVERAGE(calls[[#This Row],[Duration]])</f>
        <v>23</v>
      </c>
    </row>
    <row r="341" spans="2:13"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c r="M341">
        <f>AVERAGE(calls[[#This Row],[Duration]])</f>
        <v>69</v>
      </c>
    </row>
    <row r="342" spans="2:13"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c r="M342">
        <f>AVERAGE(calls[[#This Row],[Duration]])</f>
        <v>64</v>
      </c>
    </row>
    <row r="343" spans="2:13"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c r="M343">
        <f>AVERAGE(calls[[#This Row],[Duration]])</f>
        <v>47</v>
      </c>
    </row>
    <row r="344" spans="2:13"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c r="M344">
        <f>AVERAGE(calls[[#This Row],[Duration]])</f>
        <v>55</v>
      </c>
    </row>
    <row r="345" spans="2:13"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c r="M345">
        <f>AVERAGE(calls[[#This Row],[Duration]])</f>
        <v>104</v>
      </c>
    </row>
    <row r="346" spans="2:13"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c r="M346">
        <f>AVERAGE(calls[[#This Row],[Duration]])</f>
        <v>116</v>
      </c>
    </row>
    <row r="347" spans="2:13"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c r="M347">
        <f>AVERAGE(calls[[#This Row],[Duration]])</f>
        <v>99</v>
      </c>
    </row>
    <row r="348" spans="2:13"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c r="M348">
        <f>AVERAGE(calls[[#This Row],[Duration]])</f>
        <v>84</v>
      </c>
    </row>
    <row r="349" spans="2:13"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c r="M349">
        <f>AVERAGE(calls[[#This Row],[Duration]])</f>
        <v>159</v>
      </c>
    </row>
    <row r="350" spans="2:13"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c r="M350">
        <f>AVERAGE(calls[[#This Row],[Duration]])</f>
        <v>25</v>
      </c>
    </row>
    <row r="351" spans="2:13"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c r="M351">
        <f>AVERAGE(calls[[#This Row],[Duration]])</f>
        <v>53</v>
      </c>
    </row>
    <row r="352" spans="2:13"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c r="M352">
        <f>AVERAGE(calls[[#This Row],[Duration]])</f>
        <v>89</v>
      </c>
    </row>
    <row r="353" spans="2:13"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c r="M353">
        <f>AVERAGE(calls[[#This Row],[Duration]])</f>
        <v>73</v>
      </c>
    </row>
    <row r="354" spans="2:13"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c r="M354">
        <f>AVERAGE(calls[[#This Row],[Duration]])</f>
        <v>50</v>
      </c>
    </row>
    <row r="355" spans="2:13"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c r="M355">
        <f>AVERAGE(calls[[#This Row],[Duration]])</f>
        <v>98</v>
      </c>
    </row>
    <row r="356" spans="2:13"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c r="M356">
        <f>AVERAGE(calls[[#This Row],[Duration]])</f>
        <v>114</v>
      </c>
    </row>
    <row r="357" spans="2:13"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c r="M357">
        <f>AVERAGE(calls[[#This Row],[Duration]])</f>
        <v>67</v>
      </c>
    </row>
    <row r="358" spans="2:13"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c r="M358">
        <f>AVERAGE(calls[[#This Row],[Duration]])</f>
        <v>91</v>
      </c>
    </row>
    <row r="359" spans="2:13"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c r="M359">
        <f>AVERAGE(calls[[#This Row],[Duration]])</f>
        <v>67</v>
      </c>
    </row>
    <row r="360" spans="2:13"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c r="M360">
        <f>AVERAGE(calls[[#This Row],[Duration]])</f>
        <v>139</v>
      </c>
    </row>
    <row r="361" spans="2:13"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c r="M361">
        <f>AVERAGE(calls[[#This Row],[Duration]])</f>
        <v>102</v>
      </c>
    </row>
    <row r="362" spans="2:13"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c r="M362">
        <f>AVERAGE(calls[[#This Row],[Duration]])</f>
        <v>108</v>
      </c>
    </row>
    <row r="363" spans="2:13"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c r="M363">
        <f>AVERAGE(calls[[#This Row],[Duration]])</f>
        <v>66</v>
      </c>
    </row>
    <row r="364" spans="2:13"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c r="M364">
        <f>AVERAGE(calls[[#This Row],[Duration]])</f>
        <v>85</v>
      </c>
    </row>
    <row r="365" spans="2:13"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c r="M365">
        <f>AVERAGE(calls[[#This Row],[Duration]])</f>
        <v>55</v>
      </c>
    </row>
    <row r="366" spans="2:13"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c r="M366">
        <f>AVERAGE(calls[[#This Row],[Duration]])</f>
        <v>17</v>
      </c>
    </row>
    <row r="367" spans="2:13"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c r="M367">
        <f>AVERAGE(calls[[#This Row],[Duration]])</f>
        <v>128</v>
      </c>
    </row>
    <row r="368" spans="2:13"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c r="M368">
        <f>AVERAGE(calls[[#This Row],[Duration]])</f>
        <v>45</v>
      </c>
    </row>
    <row r="369" spans="2:13"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c r="M369">
        <f>AVERAGE(calls[[#This Row],[Duration]])</f>
        <v>41</v>
      </c>
    </row>
    <row r="370" spans="2:13"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c r="M370">
        <f>AVERAGE(calls[[#This Row],[Duration]])</f>
        <v>49</v>
      </c>
    </row>
    <row r="371" spans="2:13"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c r="M371">
        <f>AVERAGE(calls[[#This Row],[Duration]])</f>
        <v>21</v>
      </c>
    </row>
    <row r="372" spans="2:13"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c r="M372">
        <f>AVERAGE(calls[[#This Row],[Duration]])</f>
        <v>133</v>
      </c>
    </row>
    <row r="373" spans="2:13"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c r="M373">
        <f>AVERAGE(calls[[#This Row],[Duration]])</f>
        <v>135</v>
      </c>
    </row>
    <row r="374" spans="2:13"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c r="M374">
        <f>AVERAGE(calls[[#This Row],[Duration]])</f>
        <v>69</v>
      </c>
    </row>
    <row r="375" spans="2:13"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c r="M375">
        <f>AVERAGE(calls[[#This Row],[Duration]])</f>
        <v>110</v>
      </c>
    </row>
    <row r="376" spans="2:13"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c r="M376">
        <f>AVERAGE(calls[[#This Row],[Duration]])</f>
        <v>64</v>
      </c>
    </row>
    <row r="377" spans="2:13"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c r="M377">
        <f>AVERAGE(calls[[#This Row],[Duration]])</f>
        <v>105</v>
      </c>
    </row>
    <row r="378" spans="2:13"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c r="M378">
        <f>AVERAGE(calls[[#This Row],[Duration]])</f>
        <v>165</v>
      </c>
    </row>
    <row r="379" spans="2:13"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c r="M379">
        <f>AVERAGE(calls[[#This Row],[Duration]])</f>
        <v>125</v>
      </c>
    </row>
    <row r="380" spans="2:13"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c r="M380">
        <f>AVERAGE(calls[[#This Row],[Duration]])</f>
        <v>88</v>
      </c>
    </row>
    <row r="381" spans="2:13"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c r="M381">
        <f>AVERAGE(calls[[#This Row],[Duration]])</f>
        <v>6</v>
      </c>
    </row>
    <row r="382" spans="2:13"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c r="M382">
        <f>AVERAGE(calls[[#This Row],[Duration]])</f>
        <v>69</v>
      </c>
    </row>
    <row r="383" spans="2:13"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c r="M383">
        <f>AVERAGE(calls[[#This Row],[Duration]])</f>
        <v>107</v>
      </c>
    </row>
    <row r="384" spans="2:13"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c r="M384">
        <f>AVERAGE(calls[[#This Row],[Duration]])</f>
        <v>90</v>
      </c>
    </row>
    <row r="385" spans="2:13"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c r="M385">
        <f>AVERAGE(calls[[#This Row],[Duration]])</f>
        <v>120</v>
      </c>
    </row>
    <row r="386" spans="2:13"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c r="M386">
        <f>AVERAGE(calls[[#This Row],[Duration]])</f>
        <v>47</v>
      </c>
    </row>
    <row r="387" spans="2:13"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c r="M387">
        <f>AVERAGE(calls[[#This Row],[Duration]])</f>
        <v>60</v>
      </c>
    </row>
    <row r="388" spans="2:13"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c r="M388">
        <f>AVERAGE(calls[[#This Row],[Duration]])</f>
        <v>64</v>
      </c>
    </row>
    <row r="389" spans="2:13"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c r="M389">
        <f>AVERAGE(calls[[#This Row],[Duration]])</f>
        <v>62</v>
      </c>
    </row>
    <row r="390" spans="2:13"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c r="M390">
        <f>AVERAGE(calls[[#This Row],[Duration]])</f>
        <v>88</v>
      </c>
    </row>
    <row r="391" spans="2:13"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c r="M391">
        <f>AVERAGE(calls[[#This Row],[Duration]])</f>
        <v>116</v>
      </c>
    </row>
    <row r="392" spans="2:13"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c r="M392">
        <f>AVERAGE(calls[[#This Row],[Duration]])</f>
        <v>82</v>
      </c>
    </row>
    <row r="393" spans="2:13"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c r="M393">
        <f>AVERAGE(calls[[#This Row],[Duration]])</f>
        <v>99</v>
      </c>
    </row>
    <row r="394" spans="2:13"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c r="M394">
        <f>AVERAGE(calls[[#This Row],[Duration]])</f>
        <v>55</v>
      </c>
    </row>
    <row r="395" spans="2:13"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c r="M395">
        <f>AVERAGE(calls[[#This Row],[Duration]])</f>
        <v>61</v>
      </c>
    </row>
    <row r="396" spans="2:13"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c r="M396">
        <f>AVERAGE(calls[[#This Row],[Duration]])</f>
        <v>36</v>
      </c>
    </row>
    <row r="397" spans="2:13"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c r="M397">
        <f>AVERAGE(calls[[#This Row],[Duration]])</f>
        <v>123</v>
      </c>
    </row>
    <row r="398" spans="2:13"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c r="M398">
        <f>AVERAGE(calls[[#This Row],[Duration]])</f>
        <v>24</v>
      </c>
    </row>
    <row r="399" spans="2:13"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c r="M399">
        <f>AVERAGE(calls[[#This Row],[Duration]])</f>
        <v>43</v>
      </c>
    </row>
    <row r="400" spans="2:13"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c r="M400">
        <f>AVERAGE(calls[[#This Row],[Duration]])</f>
        <v>95</v>
      </c>
    </row>
    <row r="401" spans="2:13"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c r="M401">
        <f>AVERAGE(calls[[#This Row],[Duration]])</f>
        <v>53</v>
      </c>
    </row>
    <row r="402" spans="2:13"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c r="M402">
        <f>AVERAGE(calls[[#This Row],[Duration]])</f>
        <v>113</v>
      </c>
    </row>
    <row r="403" spans="2:13"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c r="M403">
        <f>AVERAGE(calls[[#This Row],[Duration]])</f>
        <v>89</v>
      </c>
    </row>
    <row r="404" spans="2:13"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c r="M404">
        <f>AVERAGE(calls[[#This Row],[Duration]])</f>
        <v>84</v>
      </c>
    </row>
    <row r="405" spans="2:13"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c r="M405">
        <f>AVERAGE(calls[[#This Row],[Duration]])</f>
        <v>130</v>
      </c>
    </row>
    <row r="406" spans="2:13"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c r="M406">
        <f>AVERAGE(calls[[#This Row],[Duration]])</f>
        <v>163</v>
      </c>
    </row>
    <row r="407" spans="2:13"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c r="M407">
        <f>AVERAGE(calls[[#This Row],[Duration]])</f>
        <v>127</v>
      </c>
    </row>
    <row r="408" spans="2:13"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c r="M408">
        <f>AVERAGE(calls[[#This Row],[Duration]])</f>
        <v>50</v>
      </c>
    </row>
    <row r="409" spans="2:13"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c r="M409">
        <f>AVERAGE(calls[[#This Row],[Duration]])</f>
        <v>88</v>
      </c>
    </row>
    <row r="410" spans="2:13"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c r="M410">
        <f>AVERAGE(calls[[#This Row],[Duration]])</f>
        <v>139</v>
      </c>
    </row>
    <row r="411" spans="2:13"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c r="M411">
        <f>AVERAGE(calls[[#This Row],[Duration]])</f>
        <v>111</v>
      </c>
    </row>
    <row r="412" spans="2:13"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c r="M412">
        <f>AVERAGE(calls[[#This Row],[Duration]])</f>
        <v>115</v>
      </c>
    </row>
    <row r="413" spans="2:13"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c r="M413">
        <f>AVERAGE(calls[[#This Row],[Duration]])</f>
        <v>26</v>
      </c>
    </row>
    <row r="414" spans="2:13"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c r="M414">
        <f>AVERAGE(calls[[#This Row],[Duration]])</f>
        <v>131</v>
      </c>
    </row>
    <row r="415" spans="2:13"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c r="M415">
        <f>AVERAGE(calls[[#This Row],[Duration]])</f>
        <v>27</v>
      </c>
    </row>
    <row r="416" spans="2:13"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c r="M416">
        <f>AVERAGE(calls[[#This Row],[Duration]])</f>
        <v>75</v>
      </c>
    </row>
    <row r="417" spans="2:13"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c r="M417">
        <f>AVERAGE(calls[[#This Row],[Duration]])</f>
        <v>123</v>
      </c>
    </row>
    <row r="418" spans="2:13"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c r="M418">
        <f>AVERAGE(calls[[#This Row],[Duration]])</f>
        <v>129</v>
      </c>
    </row>
    <row r="419" spans="2:13"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c r="M419">
        <f>AVERAGE(calls[[#This Row],[Duration]])</f>
        <v>124</v>
      </c>
    </row>
    <row r="420" spans="2:13"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c r="M420">
        <f>AVERAGE(calls[[#This Row],[Duration]])</f>
        <v>108</v>
      </c>
    </row>
    <row r="421" spans="2:13"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c r="M421">
        <f>AVERAGE(calls[[#This Row],[Duration]])</f>
        <v>15</v>
      </c>
    </row>
    <row r="422" spans="2:13"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c r="M422">
        <f>AVERAGE(calls[[#This Row],[Duration]])</f>
        <v>66</v>
      </c>
    </row>
    <row r="423" spans="2:13"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c r="M423">
        <f>AVERAGE(calls[[#This Row],[Duration]])</f>
        <v>126</v>
      </c>
    </row>
    <row r="424" spans="2:13"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c r="M424">
        <f>AVERAGE(calls[[#This Row],[Duration]])</f>
        <v>26</v>
      </c>
    </row>
    <row r="425" spans="2:13"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c r="M425">
        <f>AVERAGE(calls[[#This Row],[Duration]])</f>
        <v>105</v>
      </c>
    </row>
    <row r="426" spans="2:13"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c r="M426">
        <f>AVERAGE(calls[[#This Row],[Duration]])</f>
        <v>31</v>
      </c>
    </row>
    <row r="427" spans="2:13"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c r="M427">
        <f>AVERAGE(calls[[#This Row],[Duration]])</f>
        <v>109</v>
      </c>
    </row>
    <row r="428" spans="2:13"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c r="M428">
        <f>AVERAGE(calls[[#This Row],[Duration]])</f>
        <v>113</v>
      </c>
    </row>
    <row r="429" spans="2:13"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c r="M429">
        <f>AVERAGE(calls[[#This Row],[Duration]])</f>
        <v>101</v>
      </c>
    </row>
    <row r="430" spans="2:13"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c r="M430">
        <f>AVERAGE(calls[[#This Row],[Duration]])</f>
        <v>156</v>
      </c>
    </row>
    <row r="431" spans="2:13"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c r="M431">
        <f>AVERAGE(calls[[#This Row],[Duration]])</f>
        <v>145</v>
      </c>
    </row>
    <row r="432" spans="2:13"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c r="M432">
        <f>AVERAGE(calls[[#This Row],[Duration]])</f>
        <v>36</v>
      </c>
    </row>
    <row r="433" spans="2:13"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c r="M433">
        <f>AVERAGE(calls[[#This Row],[Duration]])</f>
        <v>135</v>
      </c>
    </row>
    <row r="434" spans="2:13"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c r="M434">
        <f>AVERAGE(calls[[#This Row],[Duration]])</f>
        <v>81</v>
      </c>
    </row>
    <row r="435" spans="2:13"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c r="M435">
        <f>AVERAGE(calls[[#This Row],[Duration]])</f>
        <v>81</v>
      </c>
    </row>
    <row r="436" spans="2:13"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c r="M436">
        <f>AVERAGE(calls[[#This Row],[Duration]])</f>
        <v>93</v>
      </c>
    </row>
    <row r="437" spans="2:13"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c r="M437">
        <f>AVERAGE(calls[[#This Row],[Duration]])</f>
        <v>14</v>
      </c>
    </row>
    <row r="438" spans="2:13"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c r="M438">
        <f>AVERAGE(calls[[#This Row],[Duration]])</f>
        <v>95</v>
      </c>
    </row>
    <row r="439" spans="2:13"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c r="M439">
        <f>AVERAGE(calls[[#This Row],[Duration]])</f>
        <v>81</v>
      </c>
    </row>
    <row r="440" spans="2:13"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c r="M440">
        <f>AVERAGE(calls[[#This Row],[Duration]])</f>
        <v>60</v>
      </c>
    </row>
    <row r="441" spans="2:13"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c r="M441">
        <f>AVERAGE(calls[[#This Row],[Duration]])</f>
        <v>137</v>
      </c>
    </row>
    <row r="442" spans="2:13"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c r="M442">
        <f>AVERAGE(calls[[#This Row],[Duration]])</f>
        <v>112</v>
      </c>
    </row>
    <row r="443" spans="2:13"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c r="M443">
        <f>AVERAGE(calls[[#This Row],[Duration]])</f>
        <v>76</v>
      </c>
    </row>
    <row r="444" spans="2:13"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c r="M444">
        <f>AVERAGE(calls[[#This Row],[Duration]])</f>
        <v>73</v>
      </c>
    </row>
    <row r="445" spans="2:13"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c r="M445">
        <f>AVERAGE(calls[[#This Row],[Duration]])</f>
        <v>119</v>
      </c>
    </row>
    <row r="446" spans="2:13"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c r="M446">
        <f>AVERAGE(calls[[#This Row],[Duration]])</f>
        <v>135</v>
      </c>
    </row>
    <row r="447" spans="2:13"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c r="M447">
        <f>AVERAGE(calls[[#This Row],[Duration]])</f>
        <v>41</v>
      </c>
    </row>
    <row r="448" spans="2:13"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c r="M448">
        <f>AVERAGE(calls[[#This Row],[Duration]])</f>
        <v>35</v>
      </c>
    </row>
    <row r="449" spans="2:13"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c r="M449">
        <f>AVERAGE(calls[[#This Row],[Duration]])</f>
        <v>96</v>
      </c>
    </row>
    <row r="450" spans="2:13"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c r="M450">
        <f>AVERAGE(calls[[#This Row],[Duration]])</f>
        <v>61</v>
      </c>
    </row>
    <row r="451" spans="2:13"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c r="M451">
        <f>AVERAGE(calls[[#This Row],[Duration]])</f>
        <v>91</v>
      </c>
    </row>
    <row r="452" spans="2:13"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c r="M452">
        <f>AVERAGE(calls[[#This Row],[Duration]])</f>
        <v>30</v>
      </c>
    </row>
    <row r="453" spans="2:13"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c r="M453">
        <f>AVERAGE(calls[[#This Row],[Duration]])</f>
        <v>111</v>
      </c>
    </row>
    <row r="454" spans="2:13"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c r="M454">
        <f>AVERAGE(calls[[#This Row],[Duration]])</f>
        <v>81</v>
      </c>
    </row>
    <row r="455" spans="2:13"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c r="M455">
        <f>AVERAGE(calls[[#This Row],[Duration]])</f>
        <v>40</v>
      </c>
    </row>
    <row r="456" spans="2:13"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c r="M456">
        <f>AVERAGE(calls[[#This Row],[Duration]])</f>
        <v>143</v>
      </c>
    </row>
    <row r="457" spans="2:13"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c r="M457">
        <f>AVERAGE(calls[[#This Row],[Duration]])</f>
        <v>70</v>
      </c>
    </row>
    <row r="458" spans="2:13"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c r="M458">
        <f>AVERAGE(calls[[#This Row],[Duration]])</f>
        <v>137</v>
      </c>
    </row>
    <row r="459" spans="2:13"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c r="M459">
        <f>AVERAGE(calls[[#This Row],[Duration]])</f>
        <v>52</v>
      </c>
    </row>
    <row r="460" spans="2:13"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c r="M460">
        <f>AVERAGE(calls[[#This Row],[Duration]])</f>
        <v>31</v>
      </c>
    </row>
    <row r="461" spans="2:13"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c r="M461">
        <f>AVERAGE(calls[[#This Row],[Duration]])</f>
        <v>114</v>
      </c>
    </row>
    <row r="462" spans="2:13"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c r="M462">
        <f>AVERAGE(calls[[#This Row],[Duration]])</f>
        <v>73</v>
      </c>
    </row>
    <row r="463" spans="2:13"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c r="M463">
        <f>AVERAGE(calls[[#This Row],[Duration]])</f>
        <v>25</v>
      </c>
    </row>
    <row r="464" spans="2:13"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c r="M464">
        <f>AVERAGE(calls[[#This Row],[Duration]])</f>
        <v>44</v>
      </c>
    </row>
    <row r="465" spans="2:13"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c r="M465">
        <f>AVERAGE(calls[[#This Row],[Duration]])</f>
        <v>34</v>
      </c>
    </row>
    <row r="466" spans="2:13"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c r="M466">
        <f>AVERAGE(calls[[#This Row],[Duration]])</f>
        <v>89</v>
      </c>
    </row>
    <row r="467" spans="2:13"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c r="M467">
        <f>AVERAGE(calls[[#This Row],[Duration]])</f>
        <v>54</v>
      </c>
    </row>
    <row r="468" spans="2:13"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c r="M468">
        <f>AVERAGE(calls[[#This Row],[Duration]])</f>
        <v>25</v>
      </c>
    </row>
    <row r="469" spans="2:13"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c r="M469">
        <f>AVERAGE(calls[[#This Row],[Duration]])</f>
        <v>91</v>
      </c>
    </row>
    <row r="470" spans="2:13"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c r="M470">
        <f>AVERAGE(calls[[#This Row],[Duration]])</f>
        <v>144</v>
      </c>
    </row>
    <row r="471" spans="2:13"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c r="M471">
        <f>AVERAGE(calls[[#This Row],[Duration]])</f>
        <v>81</v>
      </c>
    </row>
    <row r="472" spans="2:13"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c r="M472">
        <f>AVERAGE(calls[[#This Row],[Duration]])</f>
        <v>92</v>
      </c>
    </row>
    <row r="473" spans="2:13"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c r="M473">
        <f>AVERAGE(calls[[#This Row],[Duration]])</f>
        <v>115</v>
      </c>
    </row>
    <row r="474" spans="2:13"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c r="M474">
        <f>AVERAGE(calls[[#This Row],[Duration]])</f>
        <v>56</v>
      </c>
    </row>
    <row r="475" spans="2:13"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c r="M475">
        <f>AVERAGE(calls[[#This Row],[Duration]])</f>
        <v>154</v>
      </c>
    </row>
    <row r="476" spans="2:13"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c r="M476">
        <f>AVERAGE(calls[[#This Row],[Duration]])</f>
        <v>51</v>
      </c>
    </row>
    <row r="477" spans="2:13"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c r="M477">
        <f>AVERAGE(calls[[#This Row],[Duration]])</f>
        <v>21</v>
      </c>
    </row>
    <row r="478" spans="2:13"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c r="M478">
        <f>AVERAGE(calls[[#This Row],[Duration]])</f>
        <v>80</v>
      </c>
    </row>
    <row r="479" spans="2:13"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c r="M479">
        <f>AVERAGE(calls[[#This Row],[Duration]])</f>
        <v>139</v>
      </c>
    </row>
    <row r="480" spans="2:13"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c r="M480">
        <f>AVERAGE(calls[[#This Row],[Duration]])</f>
        <v>50</v>
      </c>
    </row>
    <row r="481" spans="2:13"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c r="M481">
        <f>AVERAGE(calls[[#This Row],[Duration]])</f>
        <v>88</v>
      </c>
    </row>
    <row r="482" spans="2:13"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c r="M482">
        <f>AVERAGE(calls[[#This Row],[Duration]])</f>
        <v>19</v>
      </c>
    </row>
    <row r="483" spans="2:13"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c r="M483">
        <f>AVERAGE(calls[[#This Row],[Duration]])</f>
        <v>104</v>
      </c>
    </row>
    <row r="484" spans="2:13"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c r="M484">
        <f>AVERAGE(calls[[#This Row],[Duration]])</f>
        <v>67</v>
      </c>
    </row>
    <row r="485" spans="2:13"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c r="M485">
        <f>AVERAGE(calls[[#This Row],[Duration]])</f>
        <v>107</v>
      </c>
    </row>
    <row r="486" spans="2:13"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c r="M486">
        <f>AVERAGE(calls[[#This Row],[Duration]])</f>
        <v>93</v>
      </c>
    </row>
    <row r="487" spans="2:13"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c r="M487">
        <f>AVERAGE(calls[[#This Row],[Duration]])</f>
        <v>117</v>
      </c>
    </row>
    <row r="488" spans="2:13"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c r="M488">
        <f>AVERAGE(calls[[#This Row],[Duration]])</f>
        <v>76</v>
      </c>
    </row>
    <row r="489" spans="2:13"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c r="M489">
        <f>AVERAGE(calls[[#This Row],[Duration]])</f>
        <v>64</v>
      </c>
    </row>
    <row r="490" spans="2:13"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c r="M490">
        <f>AVERAGE(calls[[#This Row],[Duration]])</f>
        <v>33</v>
      </c>
    </row>
    <row r="491" spans="2:13"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c r="M491">
        <f>AVERAGE(calls[[#This Row],[Duration]])</f>
        <v>115</v>
      </c>
    </row>
    <row r="492" spans="2:13"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c r="M492">
        <f>AVERAGE(calls[[#This Row],[Duration]])</f>
        <v>155</v>
      </c>
    </row>
    <row r="493" spans="2:13"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c r="M493">
        <f>AVERAGE(calls[[#This Row],[Duration]])</f>
        <v>117</v>
      </c>
    </row>
    <row r="494" spans="2:13"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c r="M494">
        <f>AVERAGE(calls[[#This Row],[Duration]])</f>
        <v>63</v>
      </c>
    </row>
    <row r="495" spans="2:13"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c r="M495">
        <f>AVERAGE(calls[[#This Row],[Duration]])</f>
        <v>59</v>
      </c>
    </row>
    <row r="496" spans="2:13"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c r="M496">
        <f>AVERAGE(calls[[#This Row],[Duration]])</f>
        <v>133</v>
      </c>
    </row>
    <row r="497" spans="2:13"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c r="M497">
        <f>AVERAGE(calls[[#This Row],[Duration]])</f>
        <v>101</v>
      </c>
    </row>
    <row r="498" spans="2:13"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c r="M498">
        <f>AVERAGE(calls[[#This Row],[Duration]])</f>
        <v>151</v>
      </c>
    </row>
    <row r="499" spans="2:13"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c r="M499">
        <f>AVERAGE(calls[[#This Row],[Duration]])</f>
        <v>146</v>
      </c>
    </row>
    <row r="500" spans="2:13"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c r="M500">
        <f>AVERAGE(calls[[#This Row],[Duration]])</f>
        <v>148</v>
      </c>
    </row>
    <row r="501" spans="2:13"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c r="M501">
        <f>AVERAGE(calls[[#This Row],[Duration]])</f>
        <v>81</v>
      </c>
    </row>
    <row r="502" spans="2:13"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c r="M502">
        <f>AVERAGE(calls[[#This Row],[Duration]])</f>
        <v>115</v>
      </c>
    </row>
    <row r="503" spans="2:13"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c r="M503">
        <f>AVERAGE(calls[[#This Row],[Duration]])</f>
        <v>117</v>
      </c>
    </row>
    <row r="504" spans="2:13"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c r="M504">
        <f>AVERAGE(calls[[#This Row],[Duration]])</f>
        <v>110</v>
      </c>
    </row>
    <row r="505" spans="2:13"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c r="M505">
        <f>AVERAGE(calls[[#This Row],[Duration]])</f>
        <v>103</v>
      </c>
    </row>
    <row r="506" spans="2:13"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c r="M506">
        <f>AVERAGE(calls[[#This Row],[Duration]])</f>
        <v>45</v>
      </c>
    </row>
    <row r="507" spans="2:13"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c r="M507">
        <f>AVERAGE(calls[[#This Row],[Duration]])</f>
        <v>110</v>
      </c>
    </row>
    <row r="508" spans="2:13"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c r="M508">
        <f>AVERAGE(calls[[#This Row],[Duration]])</f>
        <v>43</v>
      </c>
    </row>
    <row r="509" spans="2:13"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c r="M509">
        <f>AVERAGE(calls[[#This Row],[Duration]])</f>
        <v>104</v>
      </c>
    </row>
    <row r="510" spans="2:13"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c r="M510">
        <f>AVERAGE(calls[[#This Row],[Duration]])</f>
        <v>101</v>
      </c>
    </row>
    <row r="511" spans="2:13"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c r="M511">
        <f>AVERAGE(calls[[#This Row],[Duration]])</f>
        <v>55</v>
      </c>
    </row>
    <row r="512" spans="2:13"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c r="M512">
        <f>AVERAGE(calls[[#This Row],[Duration]])</f>
        <v>40</v>
      </c>
    </row>
    <row r="513" spans="2:13"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c r="M513">
        <f>AVERAGE(calls[[#This Row],[Duration]])</f>
        <v>122</v>
      </c>
    </row>
    <row r="514" spans="2:13"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c r="M514">
        <f>AVERAGE(calls[[#This Row],[Duration]])</f>
        <v>98</v>
      </c>
    </row>
    <row r="515" spans="2:13"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c r="M515">
        <f>AVERAGE(calls[[#This Row],[Duration]])</f>
        <v>110</v>
      </c>
    </row>
    <row r="516" spans="2:13"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c r="M516">
        <f>AVERAGE(calls[[#This Row],[Duration]])</f>
        <v>62</v>
      </c>
    </row>
    <row r="517" spans="2:13"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c r="M517">
        <f>AVERAGE(calls[[#This Row],[Duration]])</f>
        <v>134</v>
      </c>
    </row>
    <row r="518" spans="2:13"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c r="M518">
        <f>AVERAGE(calls[[#This Row],[Duration]])</f>
        <v>94</v>
      </c>
    </row>
    <row r="519" spans="2:13"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c r="M519">
        <f>AVERAGE(calls[[#This Row],[Duration]])</f>
        <v>63</v>
      </c>
    </row>
    <row r="520" spans="2:13"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c r="M520">
        <f>AVERAGE(calls[[#This Row],[Duration]])</f>
        <v>95</v>
      </c>
    </row>
    <row r="521" spans="2:13"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c r="M521">
        <f>AVERAGE(calls[[#This Row],[Duration]])</f>
        <v>106</v>
      </c>
    </row>
    <row r="522" spans="2:13"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c r="M522">
        <f>AVERAGE(calls[[#This Row],[Duration]])</f>
        <v>94</v>
      </c>
    </row>
    <row r="523" spans="2:13"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c r="M523">
        <f>AVERAGE(calls[[#This Row],[Duration]])</f>
        <v>51</v>
      </c>
    </row>
    <row r="524" spans="2:13"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c r="M524">
        <f>AVERAGE(calls[[#This Row],[Duration]])</f>
        <v>39</v>
      </c>
    </row>
    <row r="525" spans="2:13"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c r="M525">
        <f>AVERAGE(calls[[#This Row],[Duration]])</f>
        <v>111</v>
      </c>
    </row>
    <row r="526" spans="2:13"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c r="M526">
        <f>AVERAGE(calls[[#This Row],[Duration]])</f>
        <v>141</v>
      </c>
    </row>
    <row r="527" spans="2:13"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c r="M527">
        <f>AVERAGE(calls[[#This Row],[Duration]])</f>
        <v>147</v>
      </c>
    </row>
    <row r="528" spans="2:13"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c r="M528">
        <f>AVERAGE(calls[[#This Row],[Duration]])</f>
        <v>49</v>
      </c>
    </row>
    <row r="529" spans="2:13"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c r="M529">
        <f>AVERAGE(calls[[#This Row],[Duration]])</f>
        <v>75</v>
      </c>
    </row>
    <row r="530" spans="2:13"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c r="M530">
        <f>AVERAGE(calls[[#This Row],[Duration]])</f>
        <v>48</v>
      </c>
    </row>
    <row r="531" spans="2:13"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c r="M531">
        <f>AVERAGE(calls[[#This Row],[Duration]])</f>
        <v>48</v>
      </c>
    </row>
    <row r="532" spans="2:13"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c r="M532">
        <f>AVERAGE(calls[[#This Row],[Duration]])</f>
        <v>138</v>
      </c>
    </row>
    <row r="533" spans="2:13"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c r="M533">
        <f>AVERAGE(calls[[#This Row],[Duration]])</f>
        <v>144</v>
      </c>
    </row>
    <row r="534" spans="2:13"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c r="M534">
        <f>AVERAGE(calls[[#This Row],[Duration]])</f>
        <v>119</v>
      </c>
    </row>
    <row r="535" spans="2:13"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c r="M535">
        <f>AVERAGE(calls[[#This Row],[Duration]])</f>
        <v>101</v>
      </c>
    </row>
    <row r="536" spans="2:13"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c r="M536">
        <f>AVERAGE(calls[[#This Row],[Duration]])</f>
        <v>59</v>
      </c>
    </row>
    <row r="537" spans="2:13"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c r="M537">
        <f>AVERAGE(calls[[#This Row],[Duration]])</f>
        <v>125</v>
      </c>
    </row>
    <row r="538" spans="2:13"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c r="M538">
        <f>AVERAGE(calls[[#This Row],[Duration]])</f>
        <v>147</v>
      </c>
    </row>
    <row r="539" spans="2:13"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c r="M539">
        <f>AVERAGE(calls[[#This Row],[Duration]])</f>
        <v>76</v>
      </c>
    </row>
    <row r="540" spans="2:13"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c r="M540">
        <f>AVERAGE(calls[[#This Row],[Duration]])</f>
        <v>99</v>
      </c>
    </row>
    <row r="541" spans="2:13"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c r="M541">
        <f>AVERAGE(calls[[#This Row],[Duration]])</f>
        <v>111</v>
      </c>
    </row>
    <row r="542" spans="2:13"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c r="M542">
        <f>AVERAGE(calls[[#This Row],[Duration]])</f>
        <v>147</v>
      </c>
    </row>
    <row r="543" spans="2:13"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c r="M543">
        <f>AVERAGE(calls[[#This Row],[Duration]])</f>
        <v>141</v>
      </c>
    </row>
    <row r="544" spans="2:13"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c r="M544">
        <f>AVERAGE(calls[[#This Row],[Duration]])</f>
        <v>71</v>
      </c>
    </row>
    <row r="545" spans="2:13"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c r="M545">
        <f>AVERAGE(calls[[#This Row],[Duration]])</f>
        <v>121</v>
      </c>
    </row>
    <row r="546" spans="2:13"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c r="M546">
        <f>AVERAGE(calls[[#This Row],[Duration]])</f>
        <v>60</v>
      </c>
    </row>
    <row r="547" spans="2:13"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c r="M547">
        <f>AVERAGE(calls[[#This Row],[Duration]])</f>
        <v>158</v>
      </c>
    </row>
    <row r="548" spans="2:13"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c r="M548">
        <f>AVERAGE(calls[[#This Row],[Duration]])</f>
        <v>159</v>
      </c>
    </row>
    <row r="549" spans="2:13"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c r="M549">
        <f>AVERAGE(calls[[#This Row],[Duration]])</f>
        <v>70</v>
      </c>
    </row>
    <row r="550" spans="2:13"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c r="M550">
        <f>AVERAGE(calls[[#This Row],[Duration]])</f>
        <v>78</v>
      </c>
    </row>
    <row r="551" spans="2:13"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c r="M551">
        <f>AVERAGE(calls[[#This Row],[Duration]])</f>
        <v>103</v>
      </c>
    </row>
    <row r="552" spans="2:13"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c r="M552">
        <f>AVERAGE(calls[[#This Row],[Duration]])</f>
        <v>108</v>
      </c>
    </row>
    <row r="553" spans="2:13"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c r="M553">
        <f>AVERAGE(calls[[#This Row],[Duration]])</f>
        <v>44</v>
      </c>
    </row>
    <row r="554" spans="2:13"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c r="M554">
        <f>AVERAGE(calls[[#This Row],[Duration]])</f>
        <v>127</v>
      </c>
    </row>
    <row r="555" spans="2:13"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c r="M555">
        <f>AVERAGE(calls[[#This Row],[Duration]])</f>
        <v>132</v>
      </c>
    </row>
    <row r="556" spans="2:13"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c r="M556">
        <f>AVERAGE(calls[[#This Row],[Duration]])</f>
        <v>106</v>
      </c>
    </row>
    <row r="557" spans="2:13"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c r="M557">
        <f>AVERAGE(calls[[#This Row],[Duration]])</f>
        <v>107</v>
      </c>
    </row>
    <row r="558" spans="2:13"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c r="M558">
        <f>AVERAGE(calls[[#This Row],[Duration]])</f>
        <v>85</v>
      </c>
    </row>
    <row r="559" spans="2:13"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c r="M559">
        <f>AVERAGE(calls[[#This Row],[Duration]])</f>
        <v>49</v>
      </c>
    </row>
    <row r="560" spans="2:13"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c r="M560">
        <f>AVERAGE(calls[[#This Row],[Duration]])</f>
        <v>117</v>
      </c>
    </row>
    <row r="561" spans="2:13"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c r="M561">
        <f>AVERAGE(calls[[#This Row],[Duration]])</f>
        <v>136</v>
      </c>
    </row>
    <row r="562" spans="2:13"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c r="M562">
        <f>AVERAGE(calls[[#This Row],[Duration]])</f>
        <v>130</v>
      </c>
    </row>
    <row r="563" spans="2:13"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c r="M563">
        <f>AVERAGE(calls[[#This Row],[Duration]])</f>
        <v>73</v>
      </c>
    </row>
    <row r="564" spans="2:13"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c r="M564">
        <f>AVERAGE(calls[[#This Row],[Duration]])</f>
        <v>80</v>
      </c>
    </row>
    <row r="565" spans="2:13"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c r="M565">
        <f>AVERAGE(calls[[#This Row],[Duration]])</f>
        <v>44</v>
      </c>
    </row>
    <row r="566" spans="2:13"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c r="M566">
        <f>AVERAGE(calls[[#This Row],[Duration]])</f>
        <v>102</v>
      </c>
    </row>
    <row r="567" spans="2:13"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c r="M567">
        <f>AVERAGE(calls[[#This Row],[Duration]])</f>
        <v>74</v>
      </c>
    </row>
    <row r="568" spans="2:13"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c r="M568">
        <f>AVERAGE(calls[[#This Row],[Duration]])</f>
        <v>52</v>
      </c>
    </row>
    <row r="569" spans="2:13"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c r="M569">
        <f>AVERAGE(calls[[#This Row],[Duration]])</f>
        <v>74</v>
      </c>
    </row>
    <row r="570" spans="2:13"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c r="M570">
        <f>AVERAGE(calls[[#This Row],[Duration]])</f>
        <v>96</v>
      </c>
    </row>
    <row r="571" spans="2:13"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c r="M571">
        <f>AVERAGE(calls[[#This Row],[Duration]])</f>
        <v>104</v>
      </c>
    </row>
    <row r="572" spans="2:13"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c r="M572">
        <f>AVERAGE(calls[[#This Row],[Duration]])</f>
        <v>123</v>
      </c>
    </row>
    <row r="573" spans="2:13"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c r="M573">
        <f>AVERAGE(calls[[#This Row],[Duration]])</f>
        <v>100</v>
      </c>
    </row>
    <row r="574" spans="2:13"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c r="M574">
        <f>AVERAGE(calls[[#This Row],[Duration]])</f>
        <v>35</v>
      </c>
    </row>
    <row r="575" spans="2:13"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c r="M575">
        <f>AVERAGE(calls[[#This Row],[Duration]])</f>
        <v>123</v>
      </c>
    </row>
    <row r="576" spans="2:13"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c r="M576">
        <f>AVERAGE(calls[[#This Row],[Duration]])</f>
        <v>133</v>
      </c>
    </row>
    <row r="577" spans="2:13"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c r="M577">
        <f>AVERAGE(calls[[#This Row],[Duration]])</f>
        <v>126</v>
      </c>
    </row>
    <row r="578" spans="2:13"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c r="M578">
        <f>AVERAGE(calls[[#This Row],[Duration]])</f>
        <v>39</v>
      </c>
    </row>
    <row r="579" spans="2:13"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c r="M579">
        <f>AVERAGE(calls[[#This Row],[Duration]])</f>
        <v>31</v>
      </c>
    </row>
    <row r="580" spans="2:13"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c r="M580">
        <f>AVERAGE(calls[[#This Row],[Duration]])</f>
        <v>25</v>
      </c>
    </row>
    <row r="581" spans="2:13"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c r="M581">
        <f>AVERAGE(calls[[#This Row],[Duration]])</f>
        <v>132</v>
      </c>
    </row>
    <row r="582" spans="2:13"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c r="M582">
        <f>AVERAGE(calls[[#This Row],[Duration]])</f>
        <v>63</v>
      </c>
    </row>
    <row r="583" spans="2:13"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c r="M583">
        <f>AVERAGE(calls[[#This Row],[Duration]])</f>
        <v>135</v>
      </c>
    </row>
    <row r="584" spans="2:13"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c r="M584">
        <f>AVERAGE(calls[[#This Row],[Duration]])</f>
        <v>101</v>
      </c>
    </row>
    <row r="585" spans="2:13"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c r="M585">
        <f>AVERAGE(calls[[#This Row],[Duration]])</f>
        <v>80</v>
      </c>
    </row>
    <row r="586" spans="2:13"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c r="M586">
        <f>AVERAGE(calls[[#This Row],[Duration]])</f>
        <v>28</v>
      </c>
    </row>
    <row r="587" spans="2:13"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c r="M587">
        <f>AVERAGE(calls[[#This Row],[Duration]])</f>
        <v>102</v>
      </c>
    </row>
    <row r="588" spans="2:13"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c r="M588">
        <f>AVERAGE(calls[[#This Row],[Duration]])</f>
        <v>60</v>
      </c>
    </row>
    <row r="589" spans="2:13"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c r="M589">
        <f>AVERAGE(calls[[#This Row],[Duration]])</f>
        <v>103</v>
      </c>
    </row>
    <row r="590" spans="2:13"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c r="M590">
        <f>AVERAGE(calls[[#This Row],[Duration]])</f>
        <v>90</v>
      </c>
    </row>
    <row r="591" spans="2:13"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c r="M591">
        <f>AVERAGE(calls[[#This Row],[Duration]])</f>
        <v>88</v>
      </c>
    </row>
    <row r="592" spans="2:13"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c r="M592">
        <f>AVERAGE(calls[[#This Row],[Duration]])</f>
        <v>37</v>
      </c>
    </row>
    <row r="593" spans="2:13"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c r="M593">
        <f>AVERAGE(calls[[#This Row],[Duration]])</f>
        <v>142</v>
      </c>
    </row>
    <row r="594" spans="2:13"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c r="M594">
        <f>AVERAGE(calls[[#This Row],[Duration]])</f>
        <v>153</v>
      </c>
    </row>
    <row r="595" spans="2:13"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c r="M595">
        <f>AVERAGE(calls[[#This Row],[Duration]])</f>
        <v>128</v>
      </c>
    </row>
    <row r="596" spans="2:13"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c r="M596">
        <f>AVERAGE(calls[[#This Row],[Duration]])</f>
        <v>110</v>
      </c>
    </row>
    <row r="597" spans="2:13"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c r="M597">
        <f>AVERAGE(calls[[#This Row],[Duration]])</f>
        <v>139</v>
      </c>
    </row>
    <row r="598" spans="2:13"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c r="M598">
        <f>AVERAGE(calls[[#This Row],[Duration]])</f>
        <v>109</v>
      </c>
    </row>
    <row r="599" spans="2:13"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c r="M599">
        <f>AVERAGE(calls[[#This Row],[Duration]])</f>
        <v>57</v>
      </c>
    </row>
    <row r="600" spans="2:13"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c r="M600">
        <f>AVERAGE(calls[[#This Row],[Duration]])</f>
        <v>68</v>
      </c>
    </row>
    <row r="601" spans="2:13"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c r="M601">
        <f>AVERAGE(calls[[#This Row],[Duration]])</f>
        <v>128</v>
      </c>
    </row>
    <row r="602" spans="2:13"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c r="M602">
        <f>AVERAGE(calls[[#This Row],[Duration]])</f>
        <v>102</v>
      </c>
    </row>
    <row r="603" spans="2:13"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c r="M603">
        <f>AVERAGE(calls[[#This Row],[Duration]])</f>
        <v>52</v>
      </c>
    </row>
    <row r="604" spans="2:13"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c r="M604">
        <f>AVERAGE(calls[[#This Row],[Duration]])</f>
        <v>55</v>
      </c>
    </row>
    <row r="605" spans="2:13"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c r="M605">
        <f>AVERAGE(calls[[#This Row],[Duration]])</f>
        <v>107</v>
      </c>
    </row>
    <row r="606" spans="2:13"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c r="M606">
        <f>AVERAGE(calls[[#This Row],[Duration]])</f>
        <v>88</v>
      </c>
    </row>
    <row r="607" spans="2:13"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c r="M607">
        <f>AVERAGE(calls[[#This Row],[Duration]])</f>
        <v>49</v>
      </c>
    </row>
    <row r="608" spans="2:13"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c r="M608">
        <f>AVERAGE(calls[[#This Row],[Duration]])</f>
        <v>72</v>
      </c>
    </row>
    <row r="609" spans="2:13"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c r="M609">
        <f>AVERAGE(calls[[#This Row],[Duration]])</f>
        <v>50</v>
      </c>
    </row>
    <row r="610" spans="2:13"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c r="M610">
        <f>AVERAGE(calls[[#This Row],[Duration]])</f>
        <v>52</v>
      </c>
    </row>
    <row r="611" spans="2:13"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c r="M611">
        <f>AVERAGE(calls[[#This Row],[Duration]])</f>
        <v>85</v>
      </c>
    </row>
    <row r="612" spans="2:13"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c r="M612">
        <f>AVERAGE(calls[[#This Row],[Duration]])</f>
        <v>98</v>
      </c>
    </row>
    <row r="613" spans="2:13"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c r="M613">
        <f>AVERAGE(calls[[#This Row],[Duration]])</f>
        <v>52</v>
      </c>
    </row>
    <row r="614" spans="2:13"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c r="M614">
        <f>AVERAGE(calls[[#This Row],[Duration]])</f>
        <v>154</v>
      </c>
    </row>
    <row r="615" spans="2:13"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c r="M615">
        <f>AVERAGE(calls[[#This Row],[Duration]])</f>
        <v>131</v>
      </c>
    </row>
    <row r="616" spans="2:13"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c r="M616">
        <f>AVERAGE(calls[[#This Row],[Duration]])</f>
        <v>73</v>
      </c>
    </row>
    <row r="617" spans="2:13"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c r="M617">
        <f>AVERAGE(calls[[#This Row],[Duration]])</f>
        <v>45</v>
      </c>
    </row>
    <row r="618" spans="2:13"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c r="M618">
        <f>AVERAGE(calls[[#This Row],[Duration]])</f>
        <v>114</v>
      </c>
    </row>
    <row r="619" spans="2:13"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c r="M619">
        <f>AVERAGE(calls[[#This Row],[Duration]])</f>
        <v>69</v>
      </c>
    </row>
    <row r="620" spans="2:13"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c r="M620">
        <f>AVERAGE(calls[[#This Row],[Duration]])</f>
        <v>33</v>
      </c>
    </row>
    <row r="621" spans="2:13"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c r="M621">
        <f>AVERAGE(calls[[#This Row],[Duration]])</f>
        <v>31</v>
      </c>
    </row>
    <row r="622" spans="2:13"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c r="M622">
        <f>AVERAGE(calls[[#This Row],[Duration]])</f>
        <v>168</v>
      </c>
    </row>
    <row r="623" spans="2:13"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c r="M623">
        <f>AVERAGE(calls[[#This Row],[Duration]])</f>
        <v>111</v>
      </c>
    </row>
    <row r="624" spans="2:13"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c r="M624">
        <f>AVERAGE(calls[[#This Row],[Duration]])</f>
        <v>80</v>
      </c>
    </row>
    <row r="625" spans="2:13"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c r="M625">
        <f>AVERAGE(calls[[#This Row],[Duration]])</f>
        <v>37</v>
      </c>
    </row>
    <row r="626" spans="2:13"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c r="M626">
        <f>AVERAGE(calls[[#This Row],[Duration]])</f>
        <v>137</v>
      </c>
    </row>
    <row r="627" spans="2:13"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c r="M627">
        <f>AVERAGE(calls[[#This Row],[Duration]])</f>
        <v>123</v>
      </c>
    </row>
    <row r="628" spans="2:13"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c r="M628">
        <f>AVERAGE(calls[[#This Row],[Duration]])</f>
        <v>105</v>
      </c>
    </row>
    <row r="629" spans="2:13"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c r="M629">
        <f>AVERAGE(calls[[#This Row],[Duration]])</f>
        <v>76</v>
      </c>
    </row>
    <row r="630" spans="2:13"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c r="M630">
        <f>AVERAGE(calls[[#This Row],[Duration]])</f>
        <v>144</v>
      </c>
    </row>
    <row r="631" spans="2:13"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c r="M631">
        <f>AVERAGE(calls[[#This Row],[Duration]])</f>
        <v>109</v>
      </c>
    </row>
    <row r="632" spans="2:13"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c r="M632">
        <f>AVERAGE(calls[[#This Row],[Duration]])</f>
        <v>172</v>
      </c>
    </row>
    <row r="633" spans="2:13"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c r="M633">
        <f>AVERAGE(calls[[#This Row],[Duration]])</f>
        <v>56</v>
      </c>
    </row>
    <row r="634" spans="2:13"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c r="M634">
        <f>AVERAGE(calls[[#This Row],[Duration]])</f>
        <v>121</v>
      </c>
    </row>
    <row r="635" spans="2:13"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c r="M635">
        <f>AVERAGE(calls[[#This Row],[Duration]])</f>
        <v>41</v>
      </c>
    </row>
    <row r="636" spans="2:13"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c r="M636">
        <f>AVERAGE(calls[[#This Row],[Duration]])</f>
        <v>60</v>
      </c>
    </row>
    <row r="637" spans="2:13"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c r="M637">
        <f>AVERAGE(calls[[#This Row],[Duration]])</f>
        <v>144</v>
      </c>
    </row>
    <row r="638" spans="2:13"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c r="M638">
        <f>AVERAGE(calls[[#This Row],[Duration]])</f>
        <v>67</v>
      </c>
    </row>
    <row r="639" spans="2:13"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c r="M639">
        <f>AVERAGE(calls[[#This Row],[Duration]])</f>
        <v>162</v>
      </c>
    </row>
    <row r="640" spans="2:13"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c r="M640">
        <f>AVERAGE(calls[[#This Row],[Duration]])</f>
        <v>87</v>
      </c>
    </row>
    <row r="641" spans="2:13"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c r="M641">
        <f>AVERAGE(calls[[#This Row],[Duration]])</f>
        <v>10</v>
      </c>
    </row>
    <row r="642" spans="2:13"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c r="M642">
        <f>AVERAGE(calls[[#This Row],[Duration]])</f>
        <v>138</v>
      </c>
    </row>
    <row r="643" spans="2:13"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c r="M643">
        <f>AVERAGE(calls[[#This Row],[Duration]])</f>
        <v>31</v>
      </c>
    </row>
    <row r="644" spans="2:13"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c r="M644">
        <f>AVERAGE(calls[[#This Row],[Duration]])</f>
        <v>75</v>
      </c>
    </row>
    <row r="645" spans="2:13"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c r="M645">
        <f>AVERAGE(calls[[#This Row],[Duration]])</f>
        <v>65</v>
      </c>
    </row>
    <row r="646" spans="2:13"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c r="M646">
        <f>AVERAGE(calls[[#This Row],[Duration]])</f>
        <v>106</v>
      </c>
    </row>
    <row r="647" spans="2:13"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c r="M647">
        <f>AVERAGE(calls[[#This Row],[Duration]])</f>
        <v>107</v>
      </c>
    </row>
    <row r="648" spans="2:13"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c r="M648">
        <f>AVERAGE(calls[[#This Row],[Duration]])</f>
        <v>78</v>
      </c>
    </row>
    <row r="649" spans="2:13"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c r="M649">
        <f>AVERAGE(calls[[#This Row],[Duration]])</f>
        <v>122</v>
      </c>
    </row>
    <row r="650" spans="2:13"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c r="M650">
        <f>AVERAGE(calls[[#This Row],[Duration]])</f>
        <v>58</v>
      </c>
    </row>
    <row r="651" spans="2:13"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c r="M651">
        <f>AVERAGE(calls[[#This Row],[Duration]])</f>
        <v>33</v>
      </c>
    </row>
    <row r="652" spans="2:13"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c r="M652">
        <f>AVERAGE(calls[[#This Row],[Duration]])</f>
        <v>164</v>
      </c>
    </row>
    <row r="653" spans="2:13"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c r="M653">
        <f>AVERAGE(calls[[#This Row],[Duration]])</f>
        <v>163</v>
      </c>
    </row>
    <row r="654" spans="2:13"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c r="M654">
        <f>AVERAGE(calls[[#This Row],[Duration]])</f>
        <v>71</v>
      </c>
    </row>
    <row r="655" spans="2:13"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c r="M655">
        <f>AVERAGE(calls[[#This Row],[Duration]])</f>
        <v>103</v>
      </c>
    </row>
    <row r="656" spans="2:13"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c r="M656">
        <f>AVERAGE(calls[[#This Row],[Duration]])</f>
        <v>69</v>
      </c>
    </row>
    <row r="657" spans="2:13"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c r="M657">
        <f>AVERAGE(calls[[#This Row],[Duration]])</f>
        <v>111</v>
      </c>
    </row>
    <row r="658" spans="2:13"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c r="M658">
        <f>AVERAGE(calls[[#This Row],[Duration]])</f>
        <v>97</v>
      </c>
    </row>
    <row r="659" spans="2:13"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c r="M659">
        <f>AVERAGE(calls[[#This Row],[Duration]])</f>
        <v>144</v>
      </c>
    </row>
    <row r="660" spans="2:13"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c r="M660">
        <f>AVERAGE(calls[[#This Row],[Duration]])</f>
        <v>56</v>
      </c>
    </row>
    <row r="661" spans="2:13"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c r="M661">
        <f>AVERAGE(calls[[#This Row],[Duration]])</f>
        <v>132</v>
      </c>
    </row>
    <row r="662" spans="2:13"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c r="M662">
        <f>AVERAGE(calls[[#This Row],[Duration]])</f>
        <v>72</v>
      </c>
    </row>
    <row r="663" spans="2:13"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c r="M663">
        <f>AVERAGE(calls[[#This Row],[Duration]])</f>
        <v>18</v>
      </c>
    </row>
    <row r="664" spans="2:13"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c r="M664">
        <f>AVERAGE(calls[[#This Row],[Duration]])</f>
        <v>115</v>
      </c>
    </row>
    <row r="665" spans="2:13"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c r="M665">
        <f>AVERAGE(calls[[#This Row],[Duration]])</f>
        <v>124</v>
      </c>
    </row>
    <row r="666" spans="2:13"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c r="M666">
        <f>AVERAGE(calls[[#This Row],[Duration]])</f>
        <v>130</v>
      </c>
    </row>
    <row r="667" spans="2:13"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c r="M667">
        <f>AVERAGE(calls[[#This Row],[Duration]])</f>
        <v>120</v>
      </c>
    </row>
    <row r="668" spans="2:13"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c r="M668">
        <f>AVERAGE(calls[[#This Row],[Duration]])</f>
        <v>75</v>
      </c>
    </row>
    <row r="669" spans="2:13"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c r="M669">
        <f>AVERAGE(calls[[#This Row],[Duration]])</f>
        <v>63</v>
      </c>
    </row>
    <row r="670" spans="2:13"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c r="M670">
        <f>AVERAGE(calls[[#This Row],[Duration]])</f>
        <v>74</v>
      </c>
    </row>
    <row r="671" spans="2:13"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c r="M671">
        <f>AVERAGE(calls[[#This Row],[Duration]])</f>
        <v>134</v>
      </c>
    </row>
    <row r="672" spans="2:13"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c r="M672">
        <f>AVERAGE(calls[[#This Row],[Duration]])</f>
        <v>103</v>
      </c>
    </row>
    <row r="673" spans="2:13"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c r="M673">
        <f>AVERAGE(calls[[#This Row],[Duration]])</f>
        <v>155</v>
      </c>
    </row>
    <row r="674" spans="2:13"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c r="M674">
        <f>AVERAGE(calls[[#This Row],[Duration]])</f>
        <v>128</v>
      </c>
    </row>
    <row r="675" spans="2:13"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c r="M675">
        <f>AVERAGE(calls[[#This Row],[Duration]])</f>
        <v>89</v>
      </c>
    </row>
    <row r="676" spans="2:13"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c r="M676">
        <f>AVERAGE(calls[[#This Row],[Duration]])</f>
        <v>81</v>
      </c>
    </row>
    <row r="677" spans="2:13"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c r="M677">
        <f>AVERAGE(calls[[#This Row],[Duration]])</f>
        <v>66</v>
      </c>
    </row>
    <row r="678" spans="2:13"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c r="M678">
        <f>AVERAGE(calls[[#This Row],[Duration]])</f>
        <v>61</v>
      </c>
    </row>
    <row r="679" spans="2:13"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c r="M679">
        <f>AVERAGE(calls[[#This Row],[Duration]])</f>
        <v>128</v>
      </c>
    </row>
    <row r="680" spans="2:13"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c r="M680">
        <f>AVERAGE(calls[[#This Row],[Duration]])</f>
        <v>30</v>
      </c>
    </row>
    <row r="681" spans="2:13"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c r="M681">
        <f>AVERAGE(calls[[#This Row],[Duration]])</f>
        <v>63</v>
      </c>
    </row>
    <row r="682" spans="2:13"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c r="M682">
        <f>AVERAGE(calls[[#This Row],[Duration]])</f>
        <v>64</v>
      </c>
    </row>
    <row r="683" spans="2:13"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c r="M683">
        <f>AVERAGE(calls[[#This Row],[Duration]])</f>
        <v>151</v>
      </c>
    </row>
    <row r="684" spans="2:13"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c r="M684">
        <f>AVERAGE(calls[[#This Row],[Duration]])</f>
        <v>116</v>
      </c>
    </row>
    <row r="685" spans="2:13"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c r="M685">
        <f>AVERAGE(calls[[#This Row],[Duration]])</f>
        <v>111</v>
      </c>
    </row>
    <row r="686" spans="2:13"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c r="M686">
        <f>AVERAGE(calls[[#This Row],[Duration]])</f>
        <v>15</v>
      </c>
    </row>
    <row r="687" spans="2:13"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c r="M687">
        <f>AVERAGE(calls[[#This Row],[Duration]])</f>
        <v>18</v>
      </c>
    </row>
    <row r="688" spans="2:13"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c r="M688">
        <f>AVERAGE(calls[[#This Row],[Duration]])</f>
        <v>146</v>
      </c>
    </row>
    <row r="689" spans="2:13"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c r="M689">
        <f>AVERAGE(calls[[#This Row],[Duration]])</f>
        <v>73</v>
      </c>
    </row>
    <row r="690" spans="2:13"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c r="M690">
        <f>AVERAGE(calls[[#This Row],[Duration]])</f>
        <v>108</v>
      </c>
    </row>
    <row r="691" spans="2:13"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c r="M691">
        <f>AVERAGE(calls[[#This Row],[Duration]])</f>
        <v>52</v>
      </c>
    </row>
    <row r="692" spans="2:13"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c r="M692">
        <f>AVERAGE(calls[[#This Row],[Duration]])</f>
        <v>165</v>
      </c>
    </row>
    <row r="693" spans="2:13"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c r="M693">
        <f>AVERAGE(calls[[#This Row],[Duration]])</f>
        <v>104</v>
      </c>
    </row>
    <row r="694" spans="2:13"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c r="M694">
        <f>AVERAGE(calls[[#This Row],[Duration]])</f>
        <v>131</v>
      </c>
    </row>
    <row r="695" spans="2:13"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c r="M695">
        <f>AVERAGE(calls[[#This Row],[Duration]])</f>
        <v>80</v>
      </c>
    </row>
    <row r="696" spans="2:13"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c r="M696">
        <f>AVERAGE(calls[[#This Row],[Duration]])</f>
        <v>49</v>
      </c>
    </row>
    <row r="697" spans="2:13"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c r="M697">
        <f>AVERAGE(calls[[#This Row],[Duration]])</f>
        <v>73</v>
      </c>
    </row>
    <row r="698" spans="2:13"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c r="M698">
        <f>AVERAGE(calls[[#This Row],[Duration]])</f>
        <v>117</v>
      </c>
    </row>
    <row r="699" spans="2:13"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c r="M699">
        <f>AVERAGE(calls[[#This Row],[Duration]])</f>
        <v>38</v>
      </c>
    </row>
    <row r="700" spans="2:13"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c r="M700">
        <f>AVERAGE(calls[[#This Row],[Duration]])</f>
        <v>109</v>
      </c>
    </row>
    <row r="701" spans="2:13"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c r="M701">
        <f>AVERAGE(calls[[#This Row],[Duration]])</f>
        <v>70</v>
      </c>
    </row>
    <row r="702" spans="2:13"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c r="M702">
        <f>AVERAGE(calls[[#This Row],[Duration]])</f>
        <v>51</v>
      </c>
    </row>
    <row r="703" spans="2:13"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c r="M703">
        <f>AVERAGE(calls[[#This Row],[Duration]])</f>
        <v>100</v>
      </c>
    </row>
    <row r="704" spans="2:13"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c r="M704">
        <f>AVERAGE(calls[[#This Row],[Duration]])</f>
        <v>124</v>
      </c>
    </row>
    <row r="705" spans="2:13"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c r="M705">
        <f>AVERAGE(calls[[#This Row],[Duration]])</f>
        <v>143</v>
      </c>
    </row>
    <row r="706" spans="2:13"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c r="M706">
        <f>AVERAGE(calls[[#This Row],[Duration]])</f>
        <v>96</v>
      </c>
    </row>
    <row r="707" spans="2:13"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c r="M707">
        <f>AVERAGE(calls[[#This Row],[Duration]])</f>
        <v>84</v>
      </c>
    </row>
    <row r="708" spans="2:13"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c r="M708">
        <f>AVERAGE(calls[[#This Row],[Duration]])</f>
        <v>111</v>
      </c>
    </row>
    <row r="709" spans="2:13"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c r="M709">
        <f>AVERAGE(calls[[#This Row],[Duration]])</f>
        <v>103</v>
      </c>
    </row>
    <row r="710" spans="2:13"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c r="M710">
        <f>AVERAGE(calls[[#This Row],[Duration]])</f>
        <v>61</v>
      </c>
    </row>
    <row r="711" spans="2:13"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c r="M711">
        <f>AVERAGE(calls[[#This Row],[Duration]])</f>
        <v>113</v>
      </c>
    </row>
    <row r="712" spans="2:13"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c r="M712">
        <f>AVERAGE(calls[[#This Row],[Duration]])</f>
        <v>96</v>
      </c>
    </row>
    <row r="713" spans="2:13"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c r="M713">
        <f>AVERAGE(calls[[#This Row],[Duration]])</f>
        <v>131</v>
      </c>
    </row>
    <row r="714" spans="2:13"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c r="M714">
        <f>AVERAGE(calls[[#This Row],[Duration]])</f>
        <v>52</v>
      </c>
    </row>
    <row r="715" spans="2:13"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c r="M715">
        <f>AVERAGE(calls[[#This Row],[Duration]])</f>
        <v>100</v>
      </c>
    </row>
    <row r="716" spans="2:13"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c r="M716">
        <f>AVERAGE(calls[[#This Row],[Duration]])</f>
        <v>58</v>
      </c>
    </row>
    <row r="717" spans="2:13"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c r="M717">
        <f>AVERAGE(calls[[#This Row],[Duration]])</f>
        <v>144</v>
      </c>
    </row>
    <row r="718" spans="2:13"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c r="M718">
        <f>AVERAGE(calls[[#This Row],[Duration]])</f>
        <v>53</v>
      </c>
    </row>
    <row r="719" spans="2:13"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c r="M719">
        <f>AVERAGE(calls[[#This Row],[Duration]])</f>
        <v>97</v>
      </c>
    </row>
    <row r="720" spans="2:13"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c r="M720">
        <f>AVERAGE(calls[[#This Row],[Duration]])</f>
        <v>64</v>
      </c>
    </row>
    <row r="721" spans="2:13"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c r="M721">
        <f>AVERAGE(calls[[#This Row],[Duration]])</f>
        <v>106</v>
      </c>
    </row>
    <row r="722" spans="2:13"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c r="M722">
        <f>AVERAGE(calls[[#This Row],[Duration]])</f>
        <v>36</v>
      </c>
    </row>
    <row r="723" spans="2:13"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c r="M723">
        <f>AVERAGE(calls[[#This Row],[Duration]])</f>
        <v>74</v>
      </c>
    </row>
    <row r="724" spans="2:13"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c r="M724">
        <f>AVERAGE(calls[[#This Row],[Duration]])</f>
        <v>143</v>
      </c>
    </row>
    <row r="725" spans="2:13"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c r="M725">
        <f>AVERAGE(calls[[#This Row],[Duration]])</f>
        <v>94</v>
      </c>
    </row>
    <row r="726" spans="2:13"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c r="M726">
        <f>AVERAGE(calls[[#This Row],[Duration]])</f>
        <v>124</v>
      </c>
    </row>
    <row r="727" spans="2:13"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c r="M727">
        <f>AVERAGE(calls[[#This Row],[Duration]])</f>
        <v>156</v>
      </c>
    </row>
    <row r="728" spans="2:13"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c r="M728">
        <f>AVERAGE(calls[[#This Row],[Duration]])</f>
        <v>107</v>
      </c>
    </row>
    <row r="729" spans="2:13"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c r="M729">
        <f>AVERAGE(calls[[#This Row],[Duration]])</f>
        <v>58</v>
      </c>
    </row>
    <row r="730" spans="2:13"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c r="M730">
        <f>AVERAGE(calls[[#This Row],[Duration]])</f>
        <v>66</v>
      </c>
    </row>
    <row r="731" spans="2:13"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c r="M731">
        <f>AVERAGE(calls[[#This Row],[Duration]])</f>
        <v>75</v>
      </c>
    </row>
    <row r="732" spans="2:13"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c r="M732">
        <f>AVERAGE(calls[[#This Row],[Duration]])</f>
        <v>8</v>
      </c>
    </row>
    <row r="733" spans="2:13"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c r="M733">
        <f>AVERAGE(calls[[#This Row],[Duration]])</f>
        <v>76</v>
      </c>
    </row>
    <row r="734" spans="2:13"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c r="M734">
        <f>AVERAGE(calls[[#This Row],[Duration]])</f>
        <v>110</v>
      </c>
    </row>
    <row r="735" spans="2:13"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c r="M735">
        <f>AVERAGE(calls[[#This Row],[Duration]])</f>
        <v>50</v>
      </c>
    </row>
    <row r="736" spans="2:13"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c r="M736">
        <f>AVERAGE(calls[[#This Row],[Duration]])</f>
        <v>78</v>
      </c>
    </row>
    <row r="737" spans="2:13"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c r="M737">
        <f>AVERAGE(calls[[#This Row],[Duration]])</f>
        <v>59</v>
      </c>
    </row>
    <row r="738" spans="2:13"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c r="M738">
        <f>AVERAGE(calls[[#This Row],[Duration]])</f>
        <v>126</v>
      </c>
    </row>
    <row r="739" spans="2:13"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c r="M739">
        <f>AVERAGE(calls[[#This Row],[Duration]])</f>
        <v>43</v>
      </c>
    </row>
    <row r="740" spans="2:13"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c r="M740">
        <f>AVERAGE(calls[[#This Row],[Duration]])</f>
        <v>79</v>
      </c>
    </row>
    <row r="741" spans="2:13"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c r="M741">
        <f>AVERAGE(calls[[#This Row],[Duration]])</f>
        <v>71</v>
      </c>
    </row>
    <row r="742" spans="2:13"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c r="M742">
        <f>AVERAGE(calls[[#This Row],[Duration]])</f>
        <v>94</v>
      </c>
    </row>
    <row r="743" spans="2:13"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c r="M743">
        <f>AVERAGE(calls[[#This Row],[Duration]])</f>
        <v>108</v>
      </c>
    </row>
    <row r="744" spans="2:13"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c r="M744">
        <f>AVERAGE(calls[[#This Row],[Duration]])</f>
        <v>76</v>
      </c>
    </row>
    <row r="745" spans="2:13"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c r="M745">
        <f>AVERAGE(calls[[#This Row],[Duration]])</f>
        <v>136</v>
      </c>
    </row>
    <row r="746" spans="2:13"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c r="M746">
        <f>AVERAGE(calls[[#This Row],[Duration]])</f>
        <v>129</v>
      </c>
    </row>
    <row r="747" spans="2:13"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c r="M747">
        <f>AVERAGE(calls[[#This Row],[Duration]])</f>
        <v>120</v>
      </c>
    </row>
    <row r="748" spans="2:13"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c r="M748">
        <f>AVERAGE(calls[[#This Row],[Duration]])</f>
        <v>108</v>
      </c>
    </row>
    <row r="749" spans="2:13"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c r="M749">
        <f>AVERAGE(calls[[#This Row],[Duration]])</f>
        <v>79</v>
      </c>
    </row>
    <row r="750" spans="2:13"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c r="M750">
        <f>AVERAGE(calls[[#This Row],[Duration]])</f>
        <v>45</v>
      </c>
    </row>
    <row r="751" spans="2:13"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c r="M751">
        <f>AVERAGE(calls[[#This Row],[Duration]])</f>
        <v>96</v>
      </c>
    </row>
    <row r="752" spans="2:13"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c r="M752">
        <f>AVERAGE(calls[[#This Row],[Duration]])</f>
        <v>81</v>
      </c>
    </row>
    <row r="753" spans="2:13"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c r="M753">
        <f>AVERAGE(calls[[#This Row],[Duration]])</f>
        <v>95</v>
      </c>
    </row>
    <row r="754" spans="2:13"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c r="M754">
        <f>AVERAGE(calls[[#This Row],[Duration]])</f>
        <v>159</v>
      </c>
    </row>
    <row r="755" spans="2:13"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c r="M755">
        <f>AVERAGE(calls[[#This Row],[Duration]])</f>
        <v>109</v>
      </c>
    </row>
    <row r="756" spans="2:13"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c r="M756">
        <f>AVERAGE(calls[[#This Row],[Duration]])</f>
        <v>107</v>
      </c>
    </row>
    <row r="757" spans="2:13"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c r="M757">
        <f>AVERAGE(calls[[#This Row],[Duration]])</f>
        <v>67</v>
      </c>
    </row>
    <row r="758" spans="2:13"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c r="M758">
        <f>AVERAGE(calls[[#This Row],[Duration]])</f>
        <v>96</v>
      </c>
    </row>
    <row r="759" spans="2:13"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c r="M759">
        <f>AVERAGE(calls[[#This Row],[Duration]])</f>
        <v>142</v>
      </c>
    </row>
    <row r="760" spans="2:13"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c r="M760">
        <f>AVERAGE(calls[[#This Row],[Duration]])</f>
        <v>71</v>
      </c>
    </row>
    <row r="761" spans="2:13"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c r="M761">
        <f>AVERAGE(calls[[#This Row],[Duration]])</f>
        <v>152</v>
      </c>
    </row>
    <row r="762" spans="2:13"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c r="M762">
        <f>AVERAGE(calls[[#This Row],[Duration]])</f>
        <v>108</v>
      </c>
    </row>
    <row r="763" spans="2:13"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c r="M763">
        <f>AVERAGE(calls[[#This Row],[Duration]])</f>
        <v>156</v>
      </c>
    </row>
    <row r="764" spans="2:13"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c r="M764">
        <f>AVERAGE(calls[[#This Row],[Duration]])</f>
        <v>126</v>
      </c>
    </row>
    <row r="765" spans="2:13"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c r="M765">
        <f>AVERAGE(calls[[#This Row],[Duration]])</f>
        <v>135</v>
      </c>
    </row>
    <row r="766" spans="2:13"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c r="M766">
        <f>AVERAGE(calls[[#This Row],[Duration]])</f>
        <v>110</v>
      </c>
    </row>
    <row r="767" spans="2:13"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c r="M767">
        <f>AVERAGE(calls[[#This Row],[Duration]])</f>
        <v>64</v>
      </c>
    </row>
    <row r="768" spans="2:13"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c r="M768">
        <f>AVERAGE(calls[[#This Row],[Duration]])</f>
        <v>127</v>
      </c>
    </row>
    <row r="769" spans="2:13"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c r="M769">
        <f>AVERAGE(calls[[#This Row],[Duration]])</f>
        <v>124</v>
      </c>
    </row>
    <row r="770" spans="2:13"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c r="M770">
        <f>AVERAGE(calls[[#This Row],[Duration]])</f>
        <v>125</v>
      </c>
    </row>
    <row r="771" spans="2:13"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c r="M771">
        <f>AVERAGE(calls[[#This Row],[Duration]])</f>
        <v>70</v>
      </c>
    </row>
    <row r="772" spans="2:13"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c r="M772">
        <f>AVERAGE(calls[[#This Row],[Duration]])</f>
        <v>93</v>
      </c>
    </row>
    <row r="773" spans="2:13"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c r="M773">
        <f>AVERAGE(calls[[#This Row],[Duration]])</f>
        <v>120</v>
      </c>
    </row>
    <row r="774" spans="2:13"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c r="M774">
        <f>AVERAGE(calls[[#This Row],[Duration]])</f>
        <v>96</v>
      </c>
    </row>
    <row r="775" spans="2:13"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c r="M775">
        <f>AVERAGE(calls[[#This Row],[Duration]])</f>
        <v>67</v>
      </c>
    </row>
    <row r="776" spans="2:13"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c r="M776">
        <f>AVERAGE(calls[[#This Row],[Duration]])</f>
        <v>119</v>
      </c>
    </row>
    <row r="777" spans="2:13"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c r="M777">
        <f>AVERAGE(calls[[#This Row],[Duration]])</f>
        <v>61</v>
      </c>
    </row>
    <row r="778" spans="2:13"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c r="M778">
        <f>AVERAGE(calls[[#This Row],[Duration]])</f>
        <v>29</v>
      </c>
    </row>
    <row r="779" spans="2:13"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c r="M779">
        <f>AVERAGE(calls[[#This Row],[Duration]])</f>
        <v>134</v>
      </c>
    </row>
    <row r="780" spans="2:13"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c r="M780">
        <f>AVERAGE(calls[[#This Row],[Duration]])</f>
        <v>113</v>
      </c>
    </row>
    <row r="781" spans="2:13"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c r="M781">
        <f>AVERAGE(calls[[#This Row],[Duration]])</f>
        <v>12</v>
      </c>
    </row>
    <row r="782" spans="2:13"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c r="M782">
        <f>AVERAGE(calls[[#This Row],[Duration]])</f>
        <v>78</v>
      </c>
    </row>
    <row r="783" spans="2:13"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c r="M783">
        <f>AVERAGE(calls[[#This Row],[Duration]])</f>
        <v>82</v>
      </c>
    </row>
    <row r="784" spans="2:13"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c r="M784">
        <f>AVERAGE(calls[[#This Row],[Duration]])</f>
        <v>149</v>
      </c>
    </row>
    <row r="785" spans="2:13"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c r="M785">
        <f>AVERAGE(calls[[#This Row],[Duration]])</f>
        <v>56</v>
      </c>
    </row>
    <row r="786" spans="2:13"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c r="M786">
        <f>AVERAGE(calls[[#This Row],[Duration]])</f>
        <v>80</v>
      </c>
    </row>
    <row r="787" spans="2:13"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c r="M787">
        <f>AVERAGE(calls[[#This Row],[Duration]])</f>
        <v>131</v>
      </c>
    </row>
    <row r="788" spans="2:13"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c r="M788">
        <f>AVERAGE(calls[[#This Row],[Duration]])</f>
        <v>109</v>
      </c>
    </row>
    <row r="789" spans="2:13"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c r="M789">
        <f>AVERAGE(calls[[#This Row],[Duration]])</f>
        <v>142</v>
      </c>
    </row>
    <row r="790" spans="2:13"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c r="M790">
        <f>AVERAGE(calls[[#This Row],[Duration]])</f>
        <v>114</v>
      </c>
    </row>
    <row r="791" spans="2:13"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c r="M791">
        <f>AVERAGE(calls[[#This Row],[Duration]])</f>
        <v>93</v>
      </c>
    </row>
    <row r="792" spans="2:13"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c r="M792">
        <f>AVERAGE(calls[[#This Row],[Duration]])</f>
        <v>43</v>
      </c>
    </row>
    <row r="793" spans="2:13"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c r="M793">
        <f>AVERAGE(calls[[#This Row],[Duration]])</f>
        <v>78</v>
      </c>
    </row>
    <row r="794" spans="2:13"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c r="M794">
        <f>AVERAGE(calls[[#This Row],[Duration]])</f>
        <v>89</v>
      </c>
    </row>
    <row r="795" spans="2:13"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c r="M795">
        <f>AVERAGE(calls[[#This Row],[Duration]])</f>
        <v>82</v>
      </c>
    </row>
    <row r="796" spans="2:13"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c r="M796">
        <f>AVERAGE(calls[[#This Row],[Duration]])</f>
        <v>86</v>
      </c>
    </row>
    <row r="797" spans="2:13"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c r="M797">
        <f>AVERAGE(calls[[#This Row],[Duration]])</f>
        <v>57</v>
      </c>
    </row>
    <row r="798" spans="2:13"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c r="M798">
        <f>AVERAGE(calls[[#This Row],[Duration]])</f>
        <v>103</v>
      </c>
    </row>
    <row r="799" spans="2:13"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c r="M799">
        <f>AVERAGE(calls[[#This Row],[Duration]])</f>
        <v>138</v>
      </c>
    </row>
    <row r="800" spans="2:13"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c r="M800">
        <f>AVERAGE(calls[[#This Row],[Duration]])</f>
        <v>88</v>
      </c>
    </row>
    <row r="801" spans="2:13"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c r="M801">
        <f>AVERAGE(calls[[#This Row],[Duration]])</f>
        <v>118</v>
      </c>
    </row>
    <row r="802" spans="2:13"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c r="M802">
        <f>AVERAGE(calls[[#This Row],[Duration]])</f>
        <v>4</v>
      </c>
    </row>
    <row r="803" spans="2:13"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c r="M803">
        <f>AVERAGE(calls[[#This Row],[Duration]])</f>
        <v>78</v>
      </c>
    </row>
    <row r="804" spans="2:13"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c r="M804">
        <f>AVERAGE(calls[[#This Row],[Duration]])</f>
        <v>69</v>
      </c>
    </row>
    <row r="805" spans="2:13"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c r="M805">
        <f>AVERAGE(calls[[#This Row],[Duration]])</f>
        <v>90</v>
      </c>
    </row>
    <row r="806" spans="2:13"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c r="M806">
        <f>AVERAGE(calls[[#This Row],[Duration]])</f>
        <v>134</v>
      </c>
    </row>
    <row r="807" spans="2:13"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c r="M807">
        <f>AVERAGE(calls[[#This Row],[Duration]])</f>
        <v>65</v>
      </c>
    </row>
    <row r="808" spans="2:13"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c r="M808">
        <f>AVERAGE(calls[[#This Row],[Duration]])</f>
        <v>54</v>
      </c>
    </row>
    <row r="809" spans="2:13"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c r="M809">
        <f>AVERAGE(calls[[#This Row],[Duration]])</f>
        <v>90</v>
      </c>
    </row>
    <row r="810" spans="2:13"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c r="M810">
        <f>AVERAGE(calls[[#This Row],[Duration]])</f>
        <v>66</v>
      </c>
    </row>
    <row r="811" spans="2:13"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c r="M811">
        <f>AVERAGE(calls[[#This Row],[Duration]])</f>
        <v>150</v>
      </c>
    </row>
    <row r="812" spans="2:13"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c r="M812">
        <f>AVERAGE(calls[[#This Row],[Duration]])</f>
        <v>18</v>
      </c>
    </row>
    <row r="813" spans="2:13"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c r="M813">
        <f>AVERAGE(calls[[#This Row],[Duration]])</f>
        <v>87</v>
      </c>
    </row>
    <row r="814" spans="2:13"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c r="M814">
        <f>AVERAGE(calls[[#This Row],[Duration]])</f>
        <v>94</v>
      </c>
    </row>
    <row r="815" spans="2:13"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c r="M815">
        <f>AVERAGE(calls[[#This Row],[Duration]])</f>
        <v>56</v>
      </c>
    </row>
    <row r="816" spans="2:13"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c r="M816">
        <f>AVERAGE(calls[[#This Row],[Duration]])</f>
        <v>41</v>
      </c>
    </row>
    <row r="817" spans="2:13"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c r="M817">
        <f>AVERAGE(calls[[#This Row],[Duration]])</f>
        <v>119</v>
      </c>
    </row>
    <row r="818" spans="2:13"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c r="M818">
        <f>AVERAGE(calls[[#This Row],[Duration]])</f>
        <v>108</v>
      </c>
    </row>
    <row r="819" spans="2:13"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c r="M819">
        <f>AVERAGE(calls[[#This Row],[Duration]])</f>
        <v>63</v>
      </c>
    </row>
    <row r="820" spans="2:13"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c r="M820">
        <f>AVERAGE(calls[[#This Row],[Duration]])</f>
        <v>59</v>
      </c>
    </row>
    <row r="821" spans="2:13"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c r="M821">
        <f>AVERAGE(calls[[#This Row],[Duration]])</f>
        <v>90</v>
      </c>
    </row>
    <row r="822" spans="2:13"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c r="M822">
        <f>AVERAGE(calls[[#This Row],[Duration]])</f>
        <v>55</v>
      </c>
    </row>
    <row r="823" spans="2:13"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c r="M823">
        <f>AVERAGE(calls[[#This Row],[Duration]])</f>
        <v>84</v>
      </c>
    </row>
    <row r="824" spans="2:13"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c r="M824">
        <f>AVERAGE(calls[[#This Row],[Duration]])</f>
        <v>150</v>
      </c>
    </row>
    <row r="825" spans="2:13"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c r="M825">
        <f>AVERAGE(calls[[#This Row],[Duration]])</f>
        <v>69</v>
      </c>
    </row>
    <row r="826" spans="2:13"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c r="M826">
        <f>AVERAGE(calls[[#This Row],[Duration]])</f>
        <v>120</v>
      </c>
    </row>
    <row r="827" spans="2:13"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c r="M827">
        <f>AVERAGE(calls[[#This Row],[Duration]])</f>
        <v>126</v>
      </c>
    </row>
    <row r="828" spans="2:13"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c r="M828">
        <f>AVERAGE(calls[[#This Row],[Duration]])</f>
        <v>120</v>
      </c>
    </row>
    <row r="829" spans="2:13"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c r="M829">
        <f>AVERAGE(calls[[#This Row],[Duration]])</f>
        <v>139</v>
      </c>
    </row>
    <row r="830" spans="2:13"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c r="M830">
        <f>AVERAGE(calls[[#This Row],[Duration]])</f>
        <v>124</v>
      </c>
    </row>
    <row r="831" spans="2:13"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c r="M831">
        <f>AVERAGE(calls[[#This Row],[Duration]])</f>
        <v>108</v>
      </c>
    </row>
    <row r="832" spans="2:13"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c r="M832">
        <f>AVERAGE(calls[[#This Row],[Duration]])</f>
        <v>132</v>
      </c>
    </row>
    <row r="833" spans="2:13"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c r="M833">
        <f>AVERAGE(calls[[#This Row],[Duration]])</f>
        <v>67</v>
      </c>
    </row>
    <row r="834" spans="2:13"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c r="M834">
        <f>AVERAGE(calls[[#This Row],[Duration]])</f>
        <v>125</v>
      </c>
    </row>
    <row r="835" spans="2:13"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c r="M835">
        <f>AVERAGE(calls[[#This Row],[Duration]])</f>
        <v>23</v>
      </c>
    </row>
    <row r="836" spans="2:13"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c r="M836">
        <f>AVERAGE(calls[[#This Row],[Duration]])</f>
        <v>131</v>
      </c>
    </row>
    <row r="837" spans="2:13"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c r="M837">
        <f>AVERAGE(calls[[#This Row],[Duration]])</f>
        <v>56</v>
      </c>
    </row>
    <row r="838" spans="2:13"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c r="M838">
        <f>AVERAGE(calls[[#This Row],[Duration]])</f>
        <v>70</v>
      </c>
    </row>
    <row r="839" spans="2:13"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c r="M839">
        <f>AVERAGE(calls[[#This Row],[Duration]])</f>
        <v>55</v>
      </c>
    </row>
    <row r="840" spans="2:13"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c r="M840">
        <f>AVERAGE(calls[[#This Row],[Duration]])</f>
        <v>77</v>
      </c>
    </row>
    <row r="841" spans="2:13"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c r="M841">
        <f>AVERAGE(calls[[#This Row],[Duration]])</f>
        <v>133</v>
      </c>
    </row>
    <row r="842" spans="2:13"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c r="M842">
        <f>AVERAGE(calls[[#This Row],[Duration]])</f>
        <v>77</v>
      </c>
    </row>
    <row r="843" spans="2:13"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c r="M843">
        <f>AVERAGE(calls[[#This Row],[Duration]])</f>
        <v>103</v>
      </c>
    </row>
    <row r="844" spans="2:13"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c r="M844">
        <f>AVERAGE(calls[[#This Row],[Duration]])</f>
        <v>32</v>
      </c>
    </row>
    <row r="845" spans="2:13"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c r="M845">
        <f>AVERAGE(calls[[#This Row],[Duration]])</f>
        <v>30</v>
      </c>
    </row>
    <row r="846" spans="2:13"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c r="M846">
        <f>AVERAGE(calls[[#This Row],[Duration]])</f>
        <v>87</v>
      </c>
    </row>
    <row r="847" spans="2:13"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c r="M847">
        <f>AVERAGE(calls[[#This Row],[Duration]])</f>
        <v>137</v>
      </c>
    </row>
    <row r="848" spans="2:13"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c r="M848">
        <f>AVERAGE(calls[[#This Row],[Duration]])</f>
        <v>96</v>
      </c>
    </row>
    <row r="849" spans="2:13"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c r="M849">
        <f>AVERAGE(calls[[#This Row],[Duration]])</f>
        <v>155</v>
      </c>
    </row>
    <row r="850" spans="2:13"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c r="M850">
        <f>AVERAGE(calls[[#This Row],[Duration]])</f>
        <v>173</v>
      </c>
    </row>
    <row r="851" spans="2:13"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c r="M851">
        <f>AVERAGE(calls[[#This Row],[Duration]])</f>
        <v>127</v>
      </c>
    </row>
    <row r="852" spans="2:13"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c r="M852">
        <f>AVERAGE(calls[[#This Row],[Duration]])</f>
        <v>117</v>
      </c>
    </row>
    <row r="853" spans="2:13"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c r="M853">
        <f>AVERAGE(calls[[#This Row],[Duration]])</f>
        <v>133</v>
      </c>
    </row>
    <row r="854" spans="2:13"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c r="M854">
        <f>AVERAGE(calls[[#This Row],[Duration]])</f>
        <v>166</v>
      </c>
    </row>
    <row r="855" spans="2:13"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c r="M855">
        <f>AVERAGE(calls[[#This Row],[Duration]])</f>
        <v>50</v>
      </c>
    </row>
    <row r="856" spans="2:13"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c r="M856">
        <f>AVERAGE(calls[[#This Row],[Duration]])</f>
        <v>43</v>
      </c>
    </row>
    <row r="857" spans="2:13"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c r="M857">
        <f>AVERAGE(calls[[#This Row],[Duration]])</f>
        <v>124</v>
      </c>
    </row>
    <row r="858" spans="2:13"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c r="M858">
        <f>AVERAGE(calls[[#This Row],[Duration]])</f>
        <v>94</v>
      </c>
    </row>
    <row r="859" spans="2:13"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c r="M859">
        <f>AVERAGE(calls[[#This Row],[Duration]])</f>
        <v>126</v>
      </c>
    </row>
    <row r="860" spans="2:13"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c r="M860">
        <f>AVERAGE(calls[[#This Row],[Duration]])</f>
        <v>105</v>
      </c>
    </row>
    <row r="861" spans="2:13"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c r="M861">
        <f>AVERAGE(calls[[#This Row],[Duration]])</f>
        <v>60</v>
      </c>
    </row>
    <row r="862" spans="2:13"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c r="M862">
        <f>AVERAGE(calls[[#This Row],[Duration]])</f>
        <v>72</v>
      </c>
    </row>
    <row r="863" spans="2:13"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c r="M863">
        <f>AVERAGE(calls[[#This Row],[Duration]])</f>
        <v>40</v>
      </c>
    </row>
    <row r="864" spans="2:13"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c r="M864">
        <f>AVERAGE(calls[[#This Row],[Duration]])</f>
        <v>54</v>
      </c>
    </row>
    <row r="865" spans="2:13"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c r="M865">
        <f>AVERAGE(calls[[#This Row],[Duration]])</f>
        <v>81</v>
      </c>
    </row>
    <row r="866" spans="2:13"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c r="M866">
        <f>AVERAGE(calls[[#This Row],[Duration]])</f>
        <v>76</v>
      </c>
    </row>
    <row r="867" spans="2:13"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c r="M867">
        <f>AVERAGE(calls[[#This Row],[Duration]])</f>
        <v>37</v>
      </c>
    </row>
    <row r="868" spans="2:13"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c r="M868">
        <f>AVERAGE(calls[[#This Row],[Duration]])</f>
        <v>96</v>
      </c>
    </row>
    <row r="869" spans="2:13"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c r="M869">
        <f>AVERAGE(calls[[#This Row],[Duration]])</f>
        <v>19</v>
      </c>
    </row>
    <row r="870" spans="2:13"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c r="M870">
        <f>AVERAGE(calls[[#This Row],[Duration]])</f>
        <v>72</v>
      </c>
    </row>
    <row r="871" spans="2:13"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c r="M871">
        <f>AVERAGE(calls[[#This Row],[Duration]])</f>
        <v>73</v>
      </c>
    </row>
    <row r="872" spans="2:13"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c r="M872">
        <f>AVERAGE(calls[[#This Row],[Duration]])</f>
        <v>87</v>
      </c>
    </row>
    <row r="873" spans="2:13"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c r="M873">
        <f>AVERAGE(calls[[#This Row],[Duration]])</f>
        <v>68</v>
      </c>
    </row>
    <row r="874" spans="2:13"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c r="M874">
        <f>AVERAGE(calls[[#This Row],[Duration]])</f>
        <v>101</v>
      </c>
    </row>
    <row r="875" spans="2:13"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c r="M875">
        <f>AVERAGE(calls[[#This Row],[Duration]])</f>
        <v>107</v>
      </c>
    </row>
    <row r="876" spans="2:13"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c r="M876">
        <f>AVERAGE(calls[[#This Row],[Duration]])</f>
        <v>109</v>
      </c>
    </row>
    <row r="877" spans="2:13"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c r="M877">
        <f>AVERAGE(calls[[#This Row],[Duration]])</f>
        <v>171</v>
      </c>
    </row>
    <row r="878" spans="2:13"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c r="M878">
        <f>AVERAGE(calls[[#This Row],[Duration]])</f>
        <v>21</v>
      </c>
    </row>
    <row r="879" spans="2:13"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c r="M879">
        <f>AVERAGE(calls[[#This Row],[Duration]])</f>
        <v>94</v>
      </c>
    </row>
    <row r="880" spans="2:13"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c r="M880">
        <f>AVERAGE(calls[[#This Row],[Duration]])</f>
        <v>97</v>
      </c>
    </row>
    <row r="881" spans="2:13"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c r="M881">
        <f>AVERAGE(calls[[#This Row],[Duration]])</f>
        <v>72</v>
      </c>
    </row>
    <row r="882" spans="2:13"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c r="M882">
        <f>AVERAGE(calls[[#This Row],[Duration]])</f>
        <v>143</v>
      </c>
    </row>
    <row r="883" spans="2:13"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c r="M883">
        <f>AVERAGE(calls[[#This Row],[Duration]])</f>
        <v>64</v>
      </c>
    </row>
    <row r="884" spans="2:13"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c r="M884">
        <f>AVERAGE(calls[[#This Row],[Duration]])</f>
        <v>69</v>
      </c>
    </row>
    <row r="885" spans="2:13"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c r="M885">
        <f>AVERAGE(calls[[#This Row],[Duration]])</f>
        <v>18</v>
      </c>
    </row>
    <row r="886" spans="2:13"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c r="M886">
        <f>AVERAGE(calls[[#This Row],[Duration]])</f>
        <v>100</v>
      </c>
    </row>
    <row r="887" spans="2:13"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c r="M887">
        <f>AVERAGE(calls[[#This Row],[Duration]])</f>
        <v>110</v>
      </c>
    </row>
    <row r="888" spans="2:13"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c r="M888">
        <f>AVERAGE(calls[[#This Row],[Duration]])</f>
        <v>41</v>
      </c>
    </row>
    <row r="889" spans="2:13"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c r="M889">
        <f>AVERAGE(calls[[#This Row],[Duration]])</f>
        <v>147</v>
      </c>
    </row>
    <row r="890" spans="2:13"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c r="M890">
        <f>AVERAGE(calls[[#This Row],[Duration]])</f>
        <v>31</v>
      </c>
    </row>
    <row r="891" spans="2:13"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c r="M891">
        <f>AVERAGE(calls[[#This Row],[Duration]])</f>
        <v>142</v>
      </c>
    </row>
    <row r="892" spans="2:13"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c r="M892">
        <f>AVERAGE(calls[[#This Row],[Duration]])</f>
        <v>61</v>
      </c>
    </row>
    <row r="893" spans="2:13"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c r="M893">
        <f>AVERAGE(calls[[#This Row],[Duration]])</f>
        <v>86</v>
      </c>
    </row>
    <row r="894" spans="2:13"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c r="M894">
        <f>AVERAGE(calls[[#This Row],[Duration]])</f>
        <v>165</v>
      </c>
    </row>
    <row r="895" spans="2:13"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c r="M895">
        <f>AVERAGE(calls[[#This Row],[Duration]])</f>
        <v>62</v>
      </c>
    </row>
    <row r="896" spans="2:13"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c r="M896">
        <f>AVERAGE(calls[[#This Row],[Duration]])</f>
        <v>103</v>
      </c>
    </row>
    <row r="897" spans="2:13"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c r="M897">
        <f>AVERAGE(calls[[#This Row],[Duration]])</f>
        <v>56</v>
      </c>
    </row>
    <row r="898" spans="2:13"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c r="M898">
        <f>AVERAGE(calls[[#This Row],[Duration]])</f>
        <v>114</v>
      </c>
    </row>
    <row r="899" spans="2:13"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c r="M899">
        <f>AVERAGE(calls[[#This Row],[Duration]])</f>
        <v>112</v>
      </c>
    </row>
    <row r="900" spans="2:13"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c r="M900">
        <f>AVERAGE(calls[[#This Row],[Duration]])</f>
        <v>52</v>
      </c>
    </row>
    <row r="901" spans="2:13"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c r="M901">
        <f>AVERAGE(calls[[#This Row],[Duration]])</f>
        <v>105</v>
      </c>
    </row>
    <row r="902" spans="2:13"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c r="M902">
        <f>AVERAGE(calls[[#This Row],[Duration]])</f>
        <v>91</v>
      </c>
    </row>
    <row r="903" spans="2:13"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c r="M903">
        <f>AVERAGE(calls[[#This Row],[Duration]])</f>
        <v>74</v>
      </c>
    </row>
    <row r="904" spans="2:13"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c r="M904">
        <f>AVERAGE(calls[[#This Row],[Duration]])</f>
        <v>30</v>
      </c>
    </row>
    <row r="905" spans="2:13"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c r="M905">
        <f>AVERAGE(calls[[#This Row],[Duration]])</f>
        <v>56</v>
      </c>
    </row>
    <row r="906" spans="2:13"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c r="M906">
        <f>AVERAGE(calls[[#This Row],[Duration]])</f>
        <v>151</v>
      </c>
    </row>
    <row r="907" spans="2:13"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c r="M907">
        <f>AVERAGE(calls[[#This Row],[Duration]])</f>
        <v>108</v>
      </c>
    </row>
    <row r="908" spans="2:13"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c r="M908">
        <f>AVERAGE(calls[[#This Row],[Duration]])</f>
        <v>124</v>
      </c>
    </row>
    <row r="909" spans="2:13"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c r="M909">
        <f>AVERAGE(calls[[#This Row],[Duration]])</f>
        <v>110</v>
      </c>
    </row>
    <row r="910" spans="2:13"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c r="M910">
        <f>AVERAGE(calls[[#This Row],[Duration]])</f>
        <v>89</v>
      </c>
    </row>
    <row r="911" spans="2:13"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c r="M911">
        <f>AVERAGE(calls[[#This Row],[Duration]])</f>
        <v>95</v>
      </c>
    </row>
    <row r="912" spans="2:13"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c r="M912">
        <f>AVERAGE(calls[[#This Row],[Duration]])</f>
        <v>84</v>
      </c>
    </row>
    <row r="913" spans="2:13"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c r="M913">
        <f>AVERAGE(calls[[#This Row],[Duration]])</f>
        <v>89</v>
      </c>
    </row>
    <row r="914" spans="2:13"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c r="M914">
        <f>AVERAGE(calls[[#This Row],[Duration]])</f>
        <v>146</v>
      </c>
    </row>
    <row r="915" spans="2:13"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c r="M915">
        <f>AVERAGE(calls[[#This Row],[Duration]])</f>
        <v>62</v>
      </c>
    </row>
    <row r="916" spans="2:13"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c r="M916">
        <f>AVERAGE(calls[[#This Row],[Duration]])</f>
        <v>82</v>
      </c>
    </row>
    <row r="917" spans="2:13"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c r="M917">
        <f>AVERAGE(calls[[#This Row],[Duration]])</f>
        <v>91</v>
      </c>
    </row>
    <row r="918" spans="2:13"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c r="M918">
        <f>AVERAGE(calls[[#This Row],[Duration]])</f>
        <v>39</v>
      </c>
    </row>
    <row r="919" spans="2:13"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c r="M919">
        <f>AVERAGE(calls[[#This Row],[Duration]])</f>
        <v>149</v>
      </c>
    </row>
    <row r="920" spans="2:13"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c r="M920">
        <f>AVERAGE(calls[[#This Row],[Duration]])</f>
        <v>138</v>
      </c>
    </row>
    <row r="921" spans="2:13"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c r="M921">
        <f>AVERAGE(calls[[#This Row],[Duration]])</f>
        <v>113</v>
      </c>
    </row>
    <row r="922" spans="2:13"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c r="M922">
        <f>AVERAGE(calls[[#This Row],[Duration]])</f>
        <v>88</v>
      </c>
    </row>
    <row r="923" spans="2:13"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c r="M923">
        <f>AVERAGE(calls[[#This Row],[Duration]])</f>
        <v>64</v>
      </c>
    </row>
    <row r="924" spans="2:13"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c r="M924">
        <f>AVERAGE(calls[[#This Row],[Duration]])</f>
        <v>53</v>
      </c>
    </row>
    <row r="925" spans="2:13"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c r="M925">
        <f>AVERAGE(calls[[#This Row],[Duration]])</f>
        <v>63</v>
      </c>
    </row>
    <row r="926" spans="2:13"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c r="M926">
        <f>AVERAGE(calls[[#This Row],[Duration]])</f>
        <v>54</v>
      </c>
    </row>
    <row r="927" spans="2:13"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c r="M927">
        <f>AVERAGE(calls[[#This Row],[Duration]])</f>
        <v>54</v>
      </c>
    </row>
    <row r="928" spans="2:13"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c r="M928">
        <f>AVERAGE(calls[[#This Row],[Duration]])</f>
        <v>71</v>
      </c>
    </row>
    <row r="929" spans="2:13"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c r="M929">
        <f>AVERAGE(calls[[#This Row],[Duration]])</f>
        <v>93</v>
      </c>
    </row>
    <row r="930" spans="2:13"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c r="M930">
        <f>AVERAGE(calls[[#This Row],[Duration]])</f>
        <v>96</v>
      </c>
    </row>
    <row r="931" spans="2:13"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c r="M931">
        <f>AVERAGE(calls[[#This Row],[Duration]])</f>
        <v>31</v>
      </c>
    </row>
    <row r="932" spans="2:13"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c r="M932">
        <f>AVERAGE(calls[[#This Row],[Duration]])</f>
        <v>107</v>
      </c>
    </row>
    <row r="933" spans="2:13"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c r="M933">
        <f>AVERAGE(calls[[#This Row],[Duration]])</f>
        <v>50</v>
      </c>
    </row>
    <row r="934" spans="2:13"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c r="M934">
        <f>AVERAGE(calls[[#This Row],[Duration]])</f>
        <v>69</v>
      </c>
    </row>
    <row r="935" spans="2:13"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c r="M935">
        <f>AVERAGE(calls[[#This Row],[Duration]])</f>
        <v>26</v>
      </c>
    </row>
    <row r="936" spans="2:13"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c r="M936">
        <f>AVERAGE(calls[[#This Row],[Duration]])</f>
        <v>158</v>
      </c>
    </row>
    <row r="937" spans="2:13"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c r="M937">
        <f>AVERAGE(calls[[#This Row],[Duration]])</f>
        <v>99</v>
      </c>
    </row>
    <row r="938" spans="2:13"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c r="M938">
        <f>AVERAGE(calls[[#This Row],[Duration]])</f>
        <v>78</v>
      </c>
    </row>
    <row r="939" spans="2:13"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c r="M939">
        <f>AVERAGE(calls[[#This Row],[Duration]])</f>
        <v>102</v>
      </c>
    </row>
    <row r="940" spans="2:13"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c r="M940">
        <f>AVERAGE(calls[[#This Row],[Duration]])</f>
        <v>158</v>
      </c>
    </row>
    <row r="941" spans="2:13"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c r="M941">
        <f>AVERAGE(calls[[#This Row],[Duration]])</f>
        <v>56</v>
      </c>
    </row>
    <row r="942" spans="2:13"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c r="M942">
        <f>AVERAGE(calls[[#This Row],[Duration]])</f>
        <v>17</v>
      </c>
    </row>
    <row r="943" spans="2:13"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c r="M943">
        <f>AVERAGE(calls[[#This Row],[Duration]])</f>
        <v>104</v>
      </c>
    </row>
    <row r="944" spans="2:13"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c r="M944">
        <f>AVERAGE(calls[[#This Row],[Duration]])</f>
        <v>96</v>
      </c>
    </row>
    <row r="945" spans="2:13"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c r="M945">
        <f>AVERAGE(calls[[#This Row],[Duration]])</f>
        <v>83</v>
      </c>
    </row>
    <row r="946" spans="2:13"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c r="M946">
        <f>AVERAGE(calls[[#This Row],[Duration]])</f>
        <v>80</v>
      </c>
    </row>
    <row r="947" spans="2:13"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c r="M947">
        <f>AVERAGE(calls[[#This Row],[Duration]])</f>
        <v>152</v>
      </c>
    </row>
    <row r="948" spans="2:13"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c r="M948">
        <f>AVERAGE(calls[[#This Row],[Duration]])</f>
        <v>34</v>
      </c>
    </row>
    <row r="949" spans="2:13"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c r="M949">
        <f>AVERAGE(calls[[#This Row],[Duration]])</f>
        <v>2</v>
      </c>
    </row>
    <row r="950" spans="2:13"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c r="M950">
        <f>AVERAGE(calls[[#This Row],[Duration]])</f>
        <v>140</v>
      </c>
    </row>
    <row r="951" spans="2:13"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c r="M951">
        <f>AVERAGE(calls[[#This Row],[Duration]])</f>
        <v>126</v>
      </c>
    </row>
    <row r="952" spans="2:13"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c r="M952">
        <f>AVERAGE(calls[[#This Row],[Duration]])</f>
        <v>79</v>
      </c>
    </row>
    <row r="953" spans="2:13"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c r="M953">
        <f>AVERAGE(calls[[#This Row],[Duration]])</f>
        <v>133</v>
      </c>
    </row>
    <row r="954" spans="2:13"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c r="M954">
        <f>AVERAGE(calls[[#This Row],[Duration]])</f>
        <v>97</v>
      </c>
    </row>
    <row r="955" spans="2:13"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c r="M955">
        <f>AVERAGE(calls[[#This Row],[Duration]])</f>
        <v>102</v>
      </c>
    </row>
    <row r="956" spans="2:13"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c r="M956">
        <f>AVERAGE(calls[[#This Row],[Duration]])</f>
        <v>62</v>
      </c>
    </row>
    <row r="957" spans="2:13"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c r="M957">
        <f>AVERAGE(calls[[#This Row],[Duration]])</f>
        <v>149</v>
      </c>
    </row>
    <row r="958" spans="2:13"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c r="M958">
        <f>AVERAGE(calls[[#This Row],[Duration]])</f>
        <v>133</v>
      </c>
    </row>
    <row r="959" spans="2:13"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c r="M959">
        <f>AVERAGE(calls[[#This Row],[Duration]])</f>
        <v>51</v>
      </c>
    </row>
    <row r="960" spans="2:13"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c r="M960">
        <f>AVERAGE(calls[[#This Row],[Duration]])</f>
        <v>110</v>
      </c>
    </row>
    <row r="961" spans="2:13"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c r="M961">
        <f>AVERAGE(calls[[#This Row],[Duration]])</f>
        <v>38</v>
      </c>
    </row>
    <row r="962" spans="2:13"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c r="M962">
        <f>AVERAGE(calls[[#This Row],[Duration]])</f>
        <v>78</v>
      </c>
    </row>
    <row r="963" spans="2:13"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c r="M963">
        <f>AVERAGE(calls[[#This Row],[Duration]])</f>
        <v>25</v>
      </c>
    </row>
    <row r="964" spans="2:13"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c r="M964">
        <f>AVERAGE(calls[[#This Row],[Duration]])</f>
        <v>50</v>
      </c>
    </row>
    <row r="965" spans="2:13"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c r="M965">
        <f>AVERAGE(calls[[#This Row],[Duration]])</f>
        <v>103</v>
      </c>
    </row>
    <row r="966" spans="2:13"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c r="M966">
        <f>AVERAGE(calls[[#This Row],[Duration]])</f>
        <v>63</v>
      </c>
    </row>
    <row r="967" spans="2:13"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c r="M967">
        <f>AVERAGE(calls[[#This Row],[Duration]])</f>
        <v>96</v>
      </c>
    </row>
    <row r="968" spans="2:13"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c r="M968">
        <f>AVERAGE(calls[[#This Row],[Duration]])</f>
        <v>94</v>
      </c>
    </row>
    <row r="969" spans="2:13"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c r="M969">
        <f>AVERAGE(calls[[#This Row],[Duration]])</f>
        <v>46</v>
      </c>
    </row>
    <row r="970" spans="2:13"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c r="M970">
        <f>AVERAGE(calls[[#This Row],[Duration]])</f>
        <v>127</v>
      </c>
    </row>
    <row r="971" spans="2:13"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c r="M971">
        <f>AVERAGE(calls[[#This Row],[Duration]])</f>
        <v>96</v>
      </c>
    </row>
    <row r="972" spans="2:13"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c r="M972">
        <f>AVERAGE(calls[[#This Row],[Duration]])</f>
        <v>151</v>
      </c>
    </row>
    <row r="973" spans="2:13"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c r="M973">
        <f>AVERAGE(calls[[#This Row],[Duration]])</f>
        <v>158</v>
      </c>
    </row>
    <row r="974" spans="2:13"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c r="M974">
        <f>AVERAGE(calls[[#This Row],[Duration]])</f>
        <v>45</v>
      </c>
    </row>
    <row r="975" spans="2:13"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c r="M975">
        <f>AVERAGE(calls[[#This Row],[Duration]])</f>
        <v>141</v>
      </c>
    </row>
    <row r="976" spans="2:13"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c r="M976">
        <f>AVERAGE(calls[[#This Row],[Duration]])</f>
        <v>147</v>
      </c>
    </row>
    <row r="977" spans="2:13"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c r="M977">
        <f>AVERAGE(calls[[#This Row],[Duration]])</f>
        <v>126</v>
      </c>
    </row>
    <row r="978" spans="2:13"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c r="M978">
        <f>AVERAGE(calls[[#This Row],[Duration]])</f>
        <v>126</v>
      </c>
    </row>
    <row r="979" spans="2:13"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c r="M979">
        <f>AVERAGE(calls[[#This Row],[Duration]])</f>
        <v>32</v>
      </c>
    </row>
    <row r="980" spans="2:13"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c r="M980">
        <f>AVERAGE(calls[[#This Row],[Duration]])</f>
        <v>84</v>
      </c>
    </row>
    <row r="981" spans="2:13"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c r="M981">
        <f>AVERAGE(calls[[#This Row],[Duration]])</f>
        <v>120</v>
      </c>
    </row>
    <row r="982" spans="2:13"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c r="M982">
        <f>AVERAGE(calls[[#This Row],[Duration]])</f>
        <v>93</v>
      </c>
    </row>
    <row r="983" spans="2:13"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c r="M983">
        <f>AVERAGE(calls[[#This Row],[Duration]])</f>
        <v>76</v>
      </c>
    </row>
    <row r="984" spans="2:13"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c r="M984">
        <f>AVERAGE(calls[[#This Row],[Duration]])</f>
        <v>89</v>
      </c>
    </row>
    <row r="985" spans="2:13"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c r="M985">
        <f>AVERAGE(calls[[#This Row],[Duration]])</f>
        <v>91</v>
      </c>
    </row>
    <row r="986" spans="2:13"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c r="M986">
        <f>AVERAGE(calls[[#This Row],[Duration]])</f>
        <v>7</v>
      </c>
    </row>
    <row r="987" spans="2:13"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c r="M987">
        <f>AVERAGE(calls[[#This Row],[Duration]])</f>
        <v>140</v>
      </c>
    </row>
    <row r="988" spans="2:13"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c r="M988">
        <f>AVERAGE(calls[[#This Row],[Duration]])</f>
        <v>58</v>
      </c>
    </row>
    <row r="989" spans="2:13"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c r="M989">
        <f>AVERAGE(calls[[#This Row],[Duration]])</f>
        <v>90</v>
      </c>
    </row>
    <row r="990" spans="2:13"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c r="M990">
        <f>AVERAGE(calls[[#This Row],[Duration]])</f>
        <v>106</v>
      </c>
    </row>
    <row r="991" spans="2:13"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c r="M991">
        <f>AVERAGE(calls[[#This Row],[Duration]])</f>
        <v>72</v>
      </c>
    </row>
    <row r="992" spans="2:13"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c r="M992">
        <f>AVERAGE(calls[[#This Row],[Duration]])</f>
        <v>124</v>
      </c>
    </row>
    <row r="993" spans="2:13"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c r="M993">
        <f>AVERAGE(calls[[#This Row],[Duration]])</f>
        <v>86</v>
      </c>
    </row>
    <row r="994" spans="2:13"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c r="M994">
        <f>AVERAGE(calls[[#This Row],[Duration]])</f>
        <v>164</v>
      </c>
    </row>
    <row r="995" spans="2:13"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c r="M995">
        <f>AVERAGE(calls[[#This Row],[Duration]])</f>
        <v>40</v>
      </c>
    </row>
    <row r="996" spans="2:13"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c r="M996">
        <f>AVERAGE(calls[[#This Row],[Duration]])</f>
        <v>76</v>
      </c>
    </row>
    <row r="997" spans="2:13"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c r="M997">
        <f>AVERAGE(calls[[#This Row],[Duration]])</f>
        <v>95</v>
      </c>
    </row>
    <row r="998" spans="2:13"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c r="M998">
        <f>AVERAGE(calls[[#This Row],[Duration]])</f>
        <v>113</v>
      </c>
    </row>
    <row r="999" spans="2:13"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c r="M999">
        <f>AVERAGE(calls[[#This Row],[Duration]])</f>
        <v>81</v>
      </c>
    </row>
    <row r="1000" spans="2:13"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c r="M1000">
        <f>AVERAGE(calls[[#This Row],[Duration]])</f>
        <v>127</v>
      </c>
    </row>
    <row r="1001" spans="2:13"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c r="M1001">
        <f>AVERAGE(calls[[#This Row],[Duration]])</f>
        <v>146</v>
      </c>
    </row>
    <row r="1002" spans="2:13"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c r="M1002">
        <f>AVERAGE(calls[[#This Row],[Duration]])</f>
        <v>123</v>
      </c>
    </row>
    <row r="1003" spans="2:13"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c r="M1003">
        <f>AVERAGE(calls[[#This Row],[Duration]])</f>
        <v>114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31B84-0934-4786-ADAC-4D9180A154A0}">
  <sheetPr>
    <tabColor rgb="FFC00000"/>
  </sheetPr>
  <dimension ref="A3:J129"/>
  <sheetViews>
    <sheetView topLeftCell="A6" workbookViewId="0">
      <selection activeCell="D10" sqref="D10"/>
    </sheetView>
  </sheetViews>
  <sheetFormatPr defaultRowHeight="14.4" x14ac:dyDescent="0.3"/>
  <cols>
    <col min="1" max="1" width="13.5546875" bestFit="1" customWidth="1"/>
    <col min="2" max="2" width="10.5546875" bestFit="1" customWidth="1"/>
    <col min="3" max="3" width="11.77734375" bestFit="1" customWidth="1"/>
    <col min="4" max="4" width="10.77734375" bestFit="1" customWidth="1"/>
    <col min="5" max="5" width="8" bestFit="1" customWidth="1"/>
    <col min="6" max="6" width="13.5546875" bestFit="1" customWidth="1"/>
    <col min="7" max="7" width="10.5546875" bestFit="1" customWidth="1"/>
    <col min="8" max="8" width="11.77734375" bestFit="1" customWidth="1"/>
  </cols>
  <sheetData>
    <row r="3" spans="1:7" x14ac:dyDescent="0.3">
      <c r="A3" t="s">
        <v>1043</v>
      </c>
      <c r="B3" t="s">
        <v>1044</v>
      </c>
      <c r="C3" t="s">
        <v>1045</v>
      </c>
      <c r="D3" t="s">
        <v>1046</v>
      </c>
      <c r="E3" t="s">
        <v>1047</v>
      </c>
    </row>
    <row r="4" spans="1:7" x14ac:dyDescent="0.3">
      <c r="A4" s="20">
        <v>1000</v>
      </c>
      <c r="B4" s="21">
        <v>96623</v>
      </c>
      <c r="C4" s="20">
        <v>89850</v>
      </c>
      <c r="D4" s="22">
        <v>3.8854000000000033</v>
      </c>
      <c r="E4" s="20">
        <v>307</v>
      </c>
    </row>
    <row r="9" spans="1:7" x14ac:dyDescent="0.3">
      <c r="A9" t="s">
        <v>1043</v>
      </c>
      <c r="B9" t="s">
        <v>1044</v>
      </c>
      <c r="C9" t="s">
        <v>1045</v>
      </c>
      <c r="D9" t="s">
        <v>1046</v>
      </c>
      <c r="E9" t="s">
        <v>1047</v>
      </c>
    </row>
    <row r="10" spans="1:7" x14ac:dyDescent="0.3">
      <c r="A10" s="20">
        <v>186</v>
      </c>
      <c r="B10" s="50">
        <v>16651</v>
      </c>
      <c r="C10" s="20">
        <v>17807</v>
      </c>
      <c r="D10" s="22">
        <v>3.8973118279569863</v>
      </c>
      <c r="E10" s="20">
        <v>62</v>
      </c>
    </row>
    <row r="16" spans="1:7" x14ac:dyDescent="0.3">
      <c r="A16" s="23" t="s">
        <v>1048</v>
      </c>
      <c r="B16" t="s">
        <v>1043</v>
      </c>
      <c r="C16" t="s">
        <v>1062</v>
      </c>
      <c r="F16" s="23" t="s">
        <v>1048</v>
      </c>
      <c r="G16" t="s">
        <v>1043</v>
      </c>
    </row>
    <row r="17" spans="1:7" x14ac:dyDescent="0.3">
      <c r="A17" s="25" t="s">
        <v>1050</v>
      </c>
      <c r="B17" s="20">
        <v>10</v>
      </c>
      <c r="C17" s="20">
        <v>10</v>
      </c>
      <c r="F17" s="25" t="s">
        <v>1064</v>
      </c>
      <c r="G17" s="20">
        <v>23</v>
      </c>
    </row>
    <row r="18" spans="1:7" x14ac:dyDescent="0.3">
      <c r="A18" s="25" t="s">
        <v>1051</v>
      </c>
      <c r="B18" s="20">
        <v>11</v>
      </c>
      <c r="C18" s="20">
        <v>11</v>
      </c>
      <c r="F18" s="25" t="s">
        <v>1068</v>
      </c>
      <c r="G18" s="20">
        <v>28</v>
      </c>
    </row>
    <row r="19" spans="1:7" x14ac:dyDescent="0.3">
      <c r="A19" s="25" t="s">
        <v>1052</v>
      </c>
      <c r="B19" s="20">
        <v>30</v>
      </c>
      <c r="C19" s="20">
        <v>30</v>
      </c>
      <c r="F19" s="25" t="s">
        <v>1069</v>
      </c>
      <c r="G19" s="20">
        <v>29</v>
      </c>
    </row>
    <row r="20" spans="1:7" x14ac:dyDescent="0.3">
      <c r="A20" s="25" t="s">
        <v>1053</v>
      </c>
      <c r="B20" s="20">
        <v>23</v>
      </c>
      <c r="C20" s="20">
        <v>23</v>
      </c>
      <c r="F20" s="25" t="s">
        <v>1067</v>
      </c>
      <c r="G20" s="20">
        <v>18</v>
      </c>
    </row>
    <row r="21" spans="1:7" x14ac:dyDescent="0.3">
      <c r="A21" s="25" t="s">
        <v>1054</v>
      </c>
      <c r="B21" s="20">
        <v>22</v>
      </c>
      <c r="C21" s="20">
        <v>22</v>
      </c>
      <c r="F21" s="25" t="s">
        <v>1063</v>
      </c>
      <c r="G21" s="20">
        <v>29</v>
      </c>
    </row>
    <row r="22" spans="1:7" x14ac:dyDescent="0.3">
      <c r="A22" s="25" t="s">
        <v>1055</v>
      </c>
      <c r="B22" s="20">
        <v>11</v>
      </c>
      <c r="C22" s="20">
        <v>11</v>
      </c>
      <c r="F22" s="25" t="s">
        <v>1065</v>
      </c>
      <c r="G22" s="20">
        <v>34</v>
      </c>
    </row>
    <row r="23" spans="1:7" x14ac:dyDescent="0.3">
      <c r="A23" s="25" t="s">
        <v>1056</v>
      </c>
      <c r="B23" s="20">
        <v>17</v>
      </c>
      <c r="C23" s="20">
        <v>17</v>
      </c>
      <c r="F23" s="25" t="s">
        <v>1066</v>
      </c>
      <c r="G23" s="20">
        <v>25</v>
      </c>
    </row>
    <row r="24" spans="1:7" x14ac:dyDescent="0.3">
      <c r="A24" s="25" t="s">
        <v>1057</v>
      </c>
      <c r="B24" s="20">
        <v>12</v>
      </c>
      <c r="C24" s="20">
        <v>12</v>
      </c>
      <c r="F24" s="25" t="s">
        <v>1049</v>
      </c>
      <c r="G24" s="20">
        <v>186</v>
      </c>
    </row>
    <row r="25" spans="1:7" x14ac:dyDescent="0.3">
      <c r="A25" s="25" t="s">
        <v>1058</v>
      </c>
      <c r="B25" s="20">
        <v>13</v>
      </c>
      <c r="C25" s="20">
        <v>13</v>
      </c>
    </row>
    <row r="26" spans="1:7" x14ac:dyDescent="0.3">
      <c r="A26" s="25" t="s">
        <v>1059</v>
      </c>
      <c r="B26" s="20">
        <v>15</v>
      </c>
      <c r="C26" s="20">
        <v>15</v>
      </c>
    </row>
    <row r="27" spans="1:7" x14ac:dyDescent="0.3">
      <c r="A27" s="25" t="s">
        <v>1060</v>
      </c>
      <c r="B27" s="20">
        <v>8</v>
      </c>
      <c r="C27" s="20">
        <v>8</v>
      </c>
    </row>
    <row r="28" spans="1:7" x14ac:dyDescent="0.3">
      <c r="A28" s="25" t="s">
        <v>1061</v>
      </c>
      <c r="B28" s="20">
        <v>14</v>
      </c>
      <c r="C28" s="20">
        <v>14</v>
      </c>
    </row>
    <row r="29" spans="1:7" x14ac:dyDescent="0.3">
      <c r="A29" s="25" t="s">
        <v>1049</v>
      </c>
      <c r="B29" s="20">
        <v>186</v>
      </c>
      <c r="C29" s="20">
        <v>186</v>
      </c>
    </row>
    <row r="43" spans="1:10" x14ac:dyDescent="0.3">
      <c r="F43" t="s">
        <v>1070</v>
      </c>
    </row>
    <row r="44" spans="1:10" x14ac:dyDescent="0.3">
      <c r="F44" t="s">
        <v>1071</v>
      </c>
      <c r="G44" t="s">
        <v>1072</v>
      </c>
      <c r="H44" t="s">
        <v>1073</v>
      </c>
      <c r="I44" t="s">
        <v>1074</v>
      </c>
      <c r="J44" t="s">
        <v>1075</v>
      </c>
    </row>
    <row r="45" spans="1:10" x14ac:dyDescent="0.3">
      <c r="A45" s="23" t="s">
        <v>1048</v>
      </c>
      <c r="B45" t="s">
        <v>1043</v>
      </c>
      <c r="C45" t="s">
        <v>1044</v>
      </c>
      <c r="F45" t="str">
        <f>A46</f>
        <v>R01</v>
      </c>
      <c r="G45">
        <f t="shared" ref="G45:H49" si="0">B46</f>
        <v>189</v>
      </c>
      <c r="H45" s="26">
        <f t="shared" si="0"/>
        <v>18415</v>
      </c>
      <c r="I45" t="e">
        <f>IF(F45=$C$55,G45,NA())</f>
        <v>#N/A</v>
      </c>
      <c r="J45" t="e">
        <f>IF(F45=$C$55,H45,NA())</f>
        <v>#N/A</v>
      </c>
    </row>
    <row r="46" spans="1:10" x14ac:dyDescent="0.3">
      <c r="A46" s="25" t="s">
        <v>11</v>
      </c>
      <c r="B46" s="20">
        <v>189</v>
      </c>
      <c r="C46" s="21">
        <v>18415</v>
      </c>
      <c r="F46" t="str">
        <f t="shared" ref="F46:F49" si="1">A47</f>
        <v>R02</v>
      </c>
      <c r="G46">
        <f t="shared" si="0"/>
        <v>218</v>
      </c>
      <c r="H46" s="26">
        <f t="shared" si="0"/>
        <v>20581</v>
      </c>
      <c r="I46" t="e">
        <f t="shared" ref="I46:I49" si="2">IF(F46=$C$55,G46,NA())</f>
        <v>#N/A</v>
      </c>
      <c r="J46" t="e">
        <f t="shared" ref="J46:J49" si="3">IF(F46=$C$55,H46,NA())</f>
        <v>#N/A</v>
      </c>
    </row>
    <row r="47" spans="1:10" x14ac:dyDescent="0.3">
      <c r="A47" s="25" t="s">
        <v>9</v>
      </c>
      <c r="B47" s="20">
        <v>218</v>
      </c>
      <c r="C47" s="21">
        <v>20581</v>
      </c>
      <c r="F47" t="str">
        <f t="shared" si="1"/>
        <v>R03</v>
      </c>
      <c r="G47">
        <f t="shared" si="0"/>
        <v>207</v>
      </c>
      <c r="H47" s="26">
        <f t="shared" si="0"/>
        <v>20872</v>
      </c>
      <c r="I47" t="e">
        <f t="shared" si="2"/>
        <v>#N/A</v>
      </c>
      <c r="J47" t="e">
        <f t="shared" si="3"/>
        <v>#N/A</v>
      </c>
    </row>
    <row r="48" spans="1:10" x14ac:dyDescent="0.3">
      <c r="A48" s="25" t="s">
        <v>6</v>
      </c>
      <c r="B48" s="20">
        <v>207</v>
      </c>
      <c r="C48" s="21">
        <v>20872</v>
      </c>
      <c r="F48" t="str">
        <f t="shared" si="1"/>
        <v>R04</v>
      </c>
      <c r="G48">
        <f t="shared" si="0"/>
        <v>186</v>
      </c>
      <c r="H48" s="26">
        <f t="shared" si="0"/>
        <v>16651</v>
      </c>
      <c r="I48">
        <f t="shared" si="2"/>
        <v>186</v>
      </c>
      <c r="J48">
        <f t="shared" si="3"/>
        <v>16651</v>
      </c>
    </row>
    <row r="49" spans="1:10" x14ac:dyDescent="0.3">
      <c r="A49" s="25" t="s">
        <v>13</v>
      </c>
      <c r="B49" s="20">
        <v>186</v>
      </c>
      <c r="C49" s="21">
        <v>16651</v>
      </c>
      <c r="F49" t="str">
        <f t="shared" si="1"/>
        <v>R05</v>
      </c>
      <c r="G49">
        <f t="shared" si="0"/>
        <v>200</v>
      </c>
      <c r="H49" s="26">
        <f t="shared" si="0"/>
        <v>20104</v>
      </c>
      <c r="I49" t="e">
        <f t="shared" si="2"/>
        <v>#N/A</v>
      </c>
      <c r="J49" t="e">
        <f t="shared" si="3"/>
        <v>#N/A</v>
      </c>
    </row>
    <row r="50" spans="1:10" x14ac:dyDescent="0.3">
      <c r="A50" s="25" t="s">
        <v>10</v>
      </c>
      <c r="B50" s="20">
        <v>200</v>
      </c>
      <c r="C50" s="21">
        <v>20104</v>
      </c>
    </row>
    <row r="51" spans="1:10" x14ac:dyDescent="0.3">
      <c r="A51" s="25" t="s">
        <v>1049</v>
      </c>
      <c r="B51" s="20">
        <v>1000</v>
      </c>
      <c r="C51" s="21">
        <v>96623</v>
      </c>
    </row>
    <row r="55" spans="1:10" x14ac:dyDescent="0.3">
      <c r="B55" t="s">
        <v>1076</v>
      </c>
      <c r="C55" t="str">
        <f>A58</f>
        <v>R04</v>
      </c>
    </row>
    <row r="57" spans="1:10" x14ac:dyDescent="0.3">
      <c r="A57" s="23" t="s">
        <v>1048</v>
      </c>
    </row>
    <row r="58" spans="1:10" x14ac:dyDescent="0.3">
      <c r="A58" s="27" t="s">
        <v>13</v>
      </c>
    </row>
    <row r="63" spans="1:10" x14ac:dyDescent="0.3">
      <c r="A63" s="23" t="s">
        <v>1042</v>
      </c>
      <c r="B63" s="23" t="s">
        <v>1077</v>
      </c>
    </row>
    <row r="64" spans="1:10" x14ac:dyDescent="0.3">
      <c r="A64" s="23" t="s">
        <v>1048</v>
      </c>
      <c r="B64" t="s">
        <v>999</v>
      </c>
      <c r="C64" t="s">
        <v>998</v>
      </c>
      <c r="D64" t="s">
        <v>1049</v>
      </c>
    </row>
    <row r="65" spans="1:4" x14ac:dyDescent="0.3">
      <c r="A65" s="25" t="s">
        <v>1002</v>
      </c>
      <c r="B65" s="20">
        <v>144</v>
      </c>
      <c r="C65" s="20">
        <v>132</v>
      </c>
      <c r="D65" s="20">
        <v>276</v>
      </c>
    </row>
    <row r="66" spans="1:4" x14ac:dyDescent="0.3">
      <c r="A66" s="25" t="s">
        <v>1001</v>
      </c>
      <c r="B66" s="20">
        <v>326</v>
      </c>
      <c r="C66" s="20">
        <v>63</v>
      </c>
      <c r="D66" s="20">
        <v>389</v>
      </c>
    </row>
    <row r="67" spans="1:4" x14ac:dyDescent="0.3">
      <c r="A67" s="25" t="s">
        <v>1000</v>
      </c>
      <c r="B67" s="20">
        <v>129</v>
      </c>
      <c r="C67" s="20">
        <v>206</v>
      </c>
      <c r="D67" s="20">
        <v>335</v>
      </c>
    </row>
    <row r="68" spans="1:4" x14ac:dyDescent="0.3">
      <c r="A68" s="25" t="s">
        <v>1049</v>
      </c>
      <c r="B68" s="20">
        <v>599</v>
      </c>
      <c r="C68" s="20">
        <v>401</v>
      </c>
      <c r="D68" s="20">
        <v>1000</v>
      </c>
    </row>
    <row r="73" spans="1:4" x14ac:dyDescent="0.3">
      <c r="A73" s="23" t="s">
        <v>1048</v>
      </c>
      <c r="B73" t="s">
        <v>1043</v>
      </c>
    </row>
    <row r="74" spans="1:4" x14ac:dyDescent="0.3">
      <c r="A74" s="25">
        <v>1</v>
      </c>
      <c r="B74" s="20">
        <v>3</v>
      </c>
    </row>
    <row r="75" spans="1:4" x14ac:dyDescent="0.3">
      <c r="A75" s="25">
        <v>2</v>
      </c>
      <c r="B75" s="20">
        <v>10</v>
      </c>
    </row>
    <row r="76" spans="1:4" x14ac:dyDescent="0.3">
      <c r="A76" s="25">
        <v>3</v>
      </c>
      <c r="B76" s="20">
        <v>41</v>
      </c>
    </row>
    <row r="77" spans="1:4" x14ac:dyDescent="0.3">
      <c r="A77" s="25">
        <v>4</v>
      </c>
      <c r="B77" s="20">
        <v>70</v>
      </c>
    </row>
    <row r="78" spans="1:4" x14ac:dyDescent="0.3">
      <c r="A78" s="25">
        <v>5</v>
      </c>
      <c r="B78" s="20">
        <v>62</v>
      </c>
    </row>
    <row r="79" spans="1:4" x14ac:dyDescent="0.3">
      <c r="A79" s="25" t="s">
        <v>1049</v>
      </c>
      <c r="B79" s="20">
        <v>186</v>
      </c>
    </row>
    <row r="83" spans="1:7" x14ac:dyDescent="0.3">
      <c r="A83" s="23" t="s">
        <v>1044</v>
      </c>
      <c r="B83" s="23" t="s">
        <v>1077</v>
      </c>
    </row>
    <row r="84" spans="1:7" x14ac:dyDescent="0.3">
      <c r="A84" s="23" t="s">
        <v>1048</v>
      </c>
      <c r="B84" t="s">
        <v>11</v>
      </c>
      <c r="C84" t="s">
        <v>9</v>
      </c>
      <c r="D84" t="s">
        <v>6</v>
      </c>
      <c r="E84" t="s">
        <v>13</v>
      </c>
      <c r="F84" t="s">
        <v>10</v>
      </c>
      <c r="G84" t="s">
        <v>1049</v>
      </c>
    </row>
    <row r="85" spans="1:7" x14ac:dyDescent="0.3">
      <c r="A85" s="25" t="s">
        <v>1002</v>
      </c>
    </row>
    <row r="86" spans="1:7" x14ac:dyDescent="0.3">
      <c r="A86" s="28" t="s">
        <v>20</v>
      </c>
      <c r="B86" s="21">
        <v>891</v>
      </c>
      <c r="C86" s="21">
        <v>1332</v>
      </c>
      <c r="D86" s="21">
        <v>1282</v>
      </c>
      <c r="E86" s="21">
        <v>739</v>
      </c>
      <c r="F86" s="21">
        <v>560</v>
      </c>
      <c r="G86" s="21">
        <v>4804</v>
      </c>
    </row>
    <row r="87" spans="1:7" x14ac:dyDescent="0.3">
      <c r="A87" s="28" t="s">
        <v>12</v>
      </c>
      <c r="B87" s="21">
        <v>1991</v>
      </c>
      <c r="C87" s="21">
        <v>1886</v>
      </c>
      <c r="D87" s="21">
        <v>1206</v>
      </c>
      <c r="E87" s="21">
        <v>884</v>
      </c>
      <c r="F87" s="21">
        <v>1722</v>
      </c>
      <c r="G87" s="21">
        <v>7689</v>
      </c>
    </row>
    <row r="88" spans="1:7" x14ac:dyDescent="0.3">
      <c r="A88" s="28" t="s">
        <v>8</v>
      </c>
      <c r="B88" s="21">
        <v>1163</v>
      </c>
      <c r="C88" s="21">
        <v>1180</v>
      </c>
      <c r="D88" s="21">
        <v>1616</v>
      </c>
      <c r="E88" s="21">
        <v>1043</v>
      </c>
      <c r="F88" s="21">
        <v>1747</v>
      </c>
      <c r="G88" s="21">
        <v>6749</v>
      </c>
    </row>
    <row r="89" spans="1:7" x14ac:dyDescent="0.3">
      <c r="A89" s="28" t="s">
        <v>16</v>
      </c>
      <c r="B89" s="21">
        <v>1438</v>
      </c>
      <c r="C89" s="21">
        <v>1616</v>
      </c>
      <c r="D89" s="21">
        <v>866</v>
      </c>
      <c r="E89" s="21">
        <v>829</v>
      </c>
      <c r="F89" s="21">
        <v>2070</v>
      </c>
      <c r="G89" s="21">
        <v>6819</v>
      </c>
    </row>
    <row r="90" spans="1:7" x14ac:dyDescent="0.3">
      <c r="A90" s="25" t="s">
        <v>1001</v>
      </c>
    </row>
    <row r="91" spans="1:7" x14ac:dyDescent="0.3">
      <c r="A91" s="28" t="s">
        <v>24</v>
      </c>
      <c r="B91" s="21">
        <v>1233</v>
      </c>
      <c r="C91" s="21">
        <v>223</v>
      </c>
      <c r="D91" s="21">
        <v>1680</v>
      </c>
      <c r="E91" s="21">
        <v>990</v>
      </c>
      <c r="F91" s="21">
        <v>1508</v>
      </c>
      <c r="G91" s="21">
        <v>5634</v>
      </c>
    </row>
    <row r="92" spans="1:7" x14ac:dyDescent="0.3">
      <c r="A92" s="28" t="s">
        <v>15</v>
      </c>
      <c r="B92" s="21">
        <v>1598</v>
      </c>
      <c r="C92" s="21">
        <v>1907</v>
      </c>
      <c r="D92" s="21">
        <v>869</v>
      </c>
      <c r="E92" s="21">
        <v>1426</v>
      </c>
      <c r="F92" s="21">
        <v>1416</v>
      </c>
      <c r="G92" s="21">
        <v>7216</v>
      </c>
    </row>
    <row r="93" spans="1:7" x14ac:dyDescent="0.3">
      <c r="A93" s="28" t="s">
        <v>5</v>
      </c>
      <c r="B93" s="21">
        <v>900</v>
      </c>
      <c r="C93" s="21">
        <v>1016</v>
      </c>
      <c r="D93" s="21">
        <v>960</v>
      </c>
      <c r="E93" s="21">
        <v>940</v>
      </c>
      <c r="F93" s="21">
        <v>1193</v>
      </c>
      <c r="G93" s="21">
        <v>5009</v>
      </c>
    </row>
    <row r="94" spans="1:7" x14ac:dyDescent="0.3">
      <c r="A94" s="28" t="s">
        <v>18</v>
      </c>
      <c r="B94" s="21">
        <v>900</v>
      </c>
      <c r="C94" s="21">
        <v>1470</v>
      </c>
      <c r="D94" s="21">
        <v>1617</v>
      </c>
      <c r="E94" s="21">
        <v>1314</v>
      </c>
      <c r="F94" s="21">
        <v>941</v>
      </c>
      <c r="G94" s="21">
        <v>6242</v>
      </c>
    </row>
    <row r="95" spans="1:7" x14ac:dyDescent="0.3">
      <c r="A95" s="28" t="s">
        <v>14</v>
      </c>
      <c r="B95" s="21">
        <v>1255</v>
      </c>
      <c r="C95" s="21">
        <v>516</v>
      </c>
      <c r="D95" s="21">
        <v>1874</v>
      </c>
      <c r="E95" s="21">
        <v>1863</v>
      </c>
      <c r="F95" s="21">
        <v>1722</v>
      </c>
      <c r="G95" s="21">
        <v>7230</v>
      </c>
    </row>
    <row r="96" spans="1:7" x14ac:dyDescent="0.3">
      <c r="A96" s="28" t="s">
        <v>19</v>
      </c>
      <c r="B96" s="21">
        <v>1138</v>
      </c>
      <c r="C96" s="21">
        <v>1898</v>
      </c>
      <c r="D96" s="21">
        <v>1482</v>
      </c>
      <c r="E96" s="21">
        <v>846</v>
      </c>
      <c r="F96" s="21">
        <v>1154</v>
      </c>
      <c r="G96" s="21">
        <v>6518</v>
      </c>
    </row>
    <row r="97" spans="1:7" x14ac:dyDescent="0.3">
      <c r="A97" s="25" t="s">
        <v>1000</v>
      </c>
    </row>
    <row r="98" spans="1:7" x14ac:dyDescent="0.3">
      <c r="A98" s="28" t="s">
        <v>17</v>
      </c>
      <c r="B98" s="21">
        <v>1655</v>
      </c>
      <c r="C98" s="21">
        <v>805</v>
      </c>
      <c r="D98" s="21">
        <v>2263</v>
      </c>
      <c r="E98" s="21">
        <v>987</v>
      </c>
      <c r="F98" s="21">
        <v>1075</v>
      </c>
      <c r="G98" s="21">
        <v>6785</v>
      </c>
    </row>
    <row r="99" spans="1:7" x14ac:dyDescent="0.3">
      <c r="A99" s="28" t="s">
        <v>23</v>
      </c>
      <c r="B99" s="21">
        <v>1104</v>
      </c>
      <c r="C99" s="21">
        <v>2280</v>
      </c>
      <c r="D99" s="21">
        <v>1445</v>
      </c>
      <c r="E99" s="21">
        <v>1722</v>
      </c>
      <c r="F99" s="21">
        <v>1196</v>
      </c>
      <c r="G99" s="21">
        <v>7747</v>
      </c>
    </row>
    <row r="100" spans="1:7" x14ac:dyDescent="0.3">
      <c r="A100" s="28" t="s">
        <v>7</v>
      </c>
      <c r="B100" s="21">
        <v>372</v>
      </c>
      <c r="C100" s="21">
        <v>1818</v>
      </c>
      <c r="D100" s="21">
        <v>1346</v>
      </c>
      <c r="E100" s="21">
        <v>1156</v>
      </c>
      <c r="F100" s="21">
        <v>1484</v>
      </c>
      <c r="G100" s="21">
        <v>6176</v>
      </c>
    </row>
    <row r="101" spans="1:7" x14ac:dyDescent="0.3">
      <c r="A101" s="28" t="s">
        <v>22</v>
      </c>
      <c r="B101" s="21">
        <v>1415</v>
      </c>
      <c r="C101" s="21">
        <v>1271</v>
      </c>
      <c r="D101" s="21">
        <v>1214</v>
      </c>
      <c r="E101" s="21">
        <v>1135</v>
      </c>
      <c r="F101" s="21">
        <v>1566</v>
      </c>
      <c r="G101" s="21">
        <v>6601</v>
      </c>
    </row>
    <row r="102" spans="1:7" x14ac:dyDescent="0.3">
      <c r="A102" s="28" t="s">
        <v>21</v>
      </c>
      <c r="B102" s="21">
        <v>1362</v>
      </c>
      <c r="C102" s="21">
        <v>1363</v>
      </c>
      <c r="D102" s="21">
        <v>1152</v>
      </c>
      <c r="E102" s="21">
        <v>777</v>
      </c>
      <c r="F102" s="21">
        <v>750</v>
      </c>
      <c r="G102" s="21">
        <v>5404</v>
      </c>
    </row>
    <row r="112" spans="1:7" x14ac:dyDescent="0.3">
      <c r="B112" s="41"/>
      <c r="C112" s="42"/>
      <c r="D112" s="43"/>
    </row>
    <row r="113" spans="2:4" x14ac:dyDescent="0.3">
      <c r="B113" s="44"/>
      <c r="C113" s="45"/>
      <c r="D113" s="46"/>
    </row>
    <row r="114" spans="2:4" x14ac:dyDescent="0.3">
      <c r="B114" s="44"/>
      <c r="C114" s="45"/>
      <c r="D114" s="46"/>
    </row>
    <row r="115" spans="2:4" x14ac:dyDescent="0.3">
      <c r="B115" s="44"/>
      <c r="C115" s="45"/>
      <c r="D115" s="46"/>
    </row>
    <row r="116" spans="2:4" x14ac:dyDescent="0.3">
      <c r="B116" s="44"/>
      <c r="C116" s="45"/>
      <c r="D116" s="46"/>
    </row>
    <row r="117" spans="2:4" x14ac:dyDescent="0.3">
      <c r="B117" s="44"/>
      <c r="C117" s="45"/>
      <c r="D117" s="46"/>
    </row>
    <row r="118" spans="2:4" x14ac:dyDescent="0.3">
      <c r="B118" s="44"/>
      <c r="C118" s="45"/>
      <c r="D118" s="46"/>
    </row>
    <row r="119" spans="2:4" x14ac:dyDescent="0.3">
      <c r="B119" s="44"/>
      <c r="C119" s="45"/>
      <c r="D119" s="46"/>
    </row>
    <row r="120" spans="2:4" x14ac:dyDescent="0.3">
      <c r="B120" s="44"/>
      <c r="C120" s="45"/>
      <c r="D120" s="46"/>
    </row>
    <row r="121" spans="2:4" x14ac:dyDescent="0.3">
      <c r="B121" s="44"/>
      <c r="C121" s="45"/>
      <c r="D121" s="46"/>
    </row>
    <row r="122" spans="2:4" x14ac:dyDescent="0.3">
      <c r="B122" s="44"/>
      <c r="C122" s="45"/>
      <c r="D122" s="46"/>
    </row>
    <row r="123" spans="2:4" x14ac:dyDescent="0.3">
      <c r="B123" s="44"/>
      <c r="C123" s="45"/>
      <c r="D123" s="46"/>
    </row>
    <row r="124" spans="2:4" x14ac:dyDescent="0.3">
      <c r="B124" s="44"/>
      <c r="C124" s="45"/>
      <c r="D124" s="46"/>
    </row>
    <row r="125" spans="2:4" x14ac:dyDescent="0.3">
      <c r="B125" s="44"/>
      <c r="C125" s="45"/>
      <c r="D125" s="46"/>
    </row>
    <row r="126" spans="2:4" x14ac:dyDescent="0.3">
      <c r="B126" s="44"/>
      <c r="C126" s="45"/>
      <c r="D126" s="46"/>
    </row>
    <row r="127" spans="2:4" x14ac:dyDescent="0.3">
      <c r="B127" s="44"/>
      <c r="C127" s="45"/>
      <c r="D127" s="46"/>
    </row>
    <row r="128" spans="2:4" x14ac:dyDescent="0.3">
      <c r="B128" s="44"/>
      <c r="C128" s="45"/>
      <c r="D128" s="46"/>
    </row>
    <row r="129" spans="2:4" x14ac:dyDescent="0.3">
      <c r="B129" s="47"/>
      <c r="C129" s="48"/>
      <c r="D129" s="4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267A1-2349-442C-8970-A5AFAD19BF5D}">
  <sheetPr>
    <tabColor theme="1" tint="4.9989318521683403E-2"/>
  </sheetPr>
  <dimension ref="A1:AQ171"/>
  <sheetViews>
    <sheetView tabSelected="1" topLeftCell="A2" zoomScale="70" zoomScaleNormal="70" workbookViewId="0">
      <selection activeCell="M32" sqref="M32"/>
    </sheetView>
  </sheetViews>
  <sheetFormatPr defaultRowHeight="14.4" x14ac:dyDescent="0.3"/>
  <cols>
    <col min="1" max="1" width="3" customWidth="1"/>
    <col min="14" max="15" width="8.88671875" customWidth="1"/>
  </cols>
  <sheetData>
    <row r="1" spans="1:43" x14ac:dyDescent="0.3">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row>
    <row r="2" spans="1:43" x14ac:dyDescent="0.3">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row>
    <row r="3" spans="1:43"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row>
    <row r="4" spans="1:43" x14ac:dyDescent="0.3">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row>
    <row r="5" spans="1:43" x14ac:dyDescent="0.3">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row>
    <row r="6" spans="1:43" x14ac:dyDescent="0.3">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row>
    <row r="7" spans="1:43" x14ac:dyDescent="0.3">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row>
    <row r="8" spans="1:43" x14ac:dyDescent="0.3">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row>
    <row r="9" spans="1:43" x14ac:dyDescent="0.3">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row>
    <row r="10" spans="1:43" x14ac:dyDescent="0.3">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row>
    <row r="11" spans="1:43" x14ac:dyDescent="0.3">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row>
    <row r="12" spans="1:43" x14ac:dyDescent="0.3">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row>
    <row r="13" spans="1:43" x14ac:dyDescent="0.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row>
    <row r="14" spans="1:43" x14ac:dyDescent="0.3">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row>
    <row r="15" spans="1:43" x14ac:dyDescent="0.3">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row>
    <row r="16" spans="1:43" x14ac:dyDescent="0.3">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row>
    <row r="17" spans="1:43" x14ac:dyDescent="0.3">
      <c r="A17" s="24"/>
      <c r="B17" s="24"/>
      <c r="C17" s="24"/>
      <c r="D17" s="24"/>
      <c r="E17" s="24"/>
      <c r="F17" s="24"/>
      <c r="G17" s="24"/>
      <c r="H17" s="24"/>
      <c r="I17" s="24"/>
      <c r="J17" s="24"/>
      <c r="K17" s="24"/>
      <c r="L17" s="24"/>
      <c r="M17" s="24"/>
      <c r="N17" s="29"/>
      <c r="O17" s="38" t="s">
        <v>11</v>
      </c>
      <c r="P17" s="38" t="s">
        <v>9</v>
      </c>
      <c r="Q17" s="38" t="s">
        <v>6</v>
      </c>
      <c r="R17" s="38" t="s">
        <v>13</v>
      </c>
      <c r="S17" s="38" t="s">
        <v>10</v>
      </c>
      <c r="T17" s="30"/>
      <c r="U17" s="31"/>
      <c r="V17" s="24"/>
      <c r="W17" s="24"/>
      <c r="X17" s="24"/>
      <c r="Y17" s="24"/>
      <c r="Z17" s="24"/>
      <c r="AA17" s="24"/>
      <c r="AB17" s="24"/>
      <c r="AC17" s="24"/>
      <c r="AD17" s="24"/>
      <c r="AE17" s="24"/>
      <c r="AF17" s="24"/>
      <c r="AG17" s="24"/>
      <c r="AH17" s="24"/>
      <c r="AI17" s="24"/>
      <c r="AJ17" s="24"/>
      <c r="AK17" s="24"/>
      <c r="AL17" s="24"/>
      <c r="AM17" s="24"/>
      <c r="AN17" s="24"/>
      <c r="AO17" s="24"/>
      <c r="AP17" s="24"/>
      <c r="AQ17" s="24"/>
    </row>
    <row r="18" spans="1:43" x14ac:dyDescent="0.3">
      <c r="A18" s="24"/>
      <c r="B18" s="24"/>
      <c r="C18" s="24"/>
      <c r="D18" s="24"/>
      <c r="E18" s="24"/>
      <c r="F18" s="24"/>
      <c r="G18" s="24"/>
      <c r="H18" s="24"/>
      <c r="I18" s="24"/>
      <c r="J18" s="24" t="s">
        <v>1042</v>
      </c>
      <c r="K18" s="24"/>
      <c r="L18" s="24"/>
      <c r="M18" s="24"/>
      <c r="N18" s="39" t="str">
        <f>Pivots!A85</f>
        <v>Cincinnati</v>
      </c>
      <c r="O18" s="33"/>
      <c r="P18" s="33"/>
      <c r="Q18" s="33"/>
      <c r="R18" s="33"/>
      <c r="S18" s="33"/>
      <c r="T18" s="40" t="s">
        <v>1078</v>
      </c>
      <c r="U18" s="34"/>
      <c r="V18" s="24"/>
      <c r="W18" s="24"/>
      <c r="X18" s="24"/>
      <c r="Y18" s="24"/>
      <c r="Z18" s="24"/>
      <c r="AA18" s="24"/>
      <c r="AB18" s="24"/>
      <c r="AC18" s="24"/>
      <c r="AD18" s="24"/>
      <c r="AE18" s="24"/>
      <c r="AF18" s="24"/>
      <c r="AG18" s="24"/>
      <c r="AH18" s="24"/>
      <c r="AI18" s="24"/>
      <c r="AJ18" s="24"/>
      <c r="AK18" s="24"/>
      <c r="AL18" s="24"/>
      <c r="AM18" s="24"/>
      <c r="AN18" s="24"/>
      <c r="AO18" s="24"/>
      <c r="AP18" s="24"/>
      <c r="AQ18" s="24"/>
    </row>
    <row r="19" spans="1:43" x14ac:dyDescent="0.3">
      <c r="A19" s="24"/>
      <c r="B19" s="24"/>
      <c r="C19" s="24"/>
      <c r="D19" s="24"/>
      <c r="E19" s="24"/>
      <c r="F19" s="24"/>
      <c r="G19" s="24"/>
      <c r="H19" s="24"/>
      <c r="I19" s="24"/>
      <c r="J19" s="24"/>
      <c r="K19" s="24"/>
      <c r="L19" s="24"/>
      <c r="M19" s="24"/>
      <c r="N19" s="32" t="str">
        <f>Pivots!A86</f>
        <v>C0003</v>
      </c>
      <c r="O19" s="33" t="s">
        <v>1042</v>
      </c>
      <c r="P19" s="33">
        <f>Pivots!C86</f>
        <v>1332</v>
      </c>
      <c r="Q19" s="33">
        <f>Pivots!D86</f>
        <v>1282</v>
      </c>
      <c r="R19" s="33">
        <f>Pivots!E86</f>
        <v>739</v>
      </c>
      <c r="S19" s="33">
        <f>Pivots!F86</f>
        <v>560</v>
      </c>
      <c r="T19" s="33">
        <f>Pivots!G86</f>
        <v>4804</v>
      </c>
      <c r="U19" s="34"/>
      <c r="V19" s="24"/>
      <c r="W19" s="24"/>
      <c r="X19" s="24"/>
      <c r="Y19" s="24"/>
      <c r="Z19" s="24"/>
      <c r="AA19" s="24"/>
      <c r="AB19" s="24"/>
      <c r="AC19" s="24"/>
      <c r="AD19" s="24"/>
      <c r="AE19" s="24"/>
      <c r="AF19" s="24"/>
      <c r="AG19" s="24"/>
      <c r="AH19" s="24"/>
      <c r="AI19" s="24"/>
      <c r="AJ19" s="24"/>
      <c r="AK19" s="24"/>
      <c r="AL19" s="24"/>
      <c r="AM19" s="24"/>
      <c r="AN19" s="24"/>
      <c r="AO19" s="24"/>
      <c r="AP19" s="24"/>
      <c r="AQ19" s="24"/>
    </row>
    <row r="20" spans="1:43" x14ac:dyDescent="0.3">
      <c r="A20" s="24"/>
      <c r="B20" s="24"/>
      <c r="C20" s="24"/>
      <c r="D20" s="24"/>
      <c r="E20" s="24"/>
      <c r="F20" s="24"/>
      <c r="G20" s="24"/>
      <c r="H20" s="24"/>
      <c r="I20" s="24"/>
      <c r="J20" s="24"/>
      <c r="K20" s="24"/>
      <c r="L20" s="24"/>
      <c r="M20" s="24"/>
      <c r="N20" s="32" t="str">
        <f>Pivots!A87</f>
        <v>C0004</v>
      </c>
      <c r="O20" s="33">
        <f>Pivots!B87</f>
        <v>1991</v>
      </c>
      <c r="P20" s="33">
        <f>Pivots!C87</f>
        <v>1886</v>
      </c>
      <c r="Q20" s="33">
        <f>Pivots!D87</f>
        <v>1206</v>
      </c>
      <c r="R20" s="33">
        <f>Pivots!E87</f>
        <v>884</v>
      </c>
      <c r="S20" s="33">
        <f>Pivots!F87</f>
        <v>1722</v>
      </c>
      <c r="T20" s="33">
        <f>Pivots!G87</f>
        <v>7689</v>
      </c>
      <c r="U20" s="34"/>
      <c r="V20" s="24"/>
      <c r="W20" s="24"/>
      <c r="X20" s="24"/>
      <c r="Y20" s="24"/>
      <c r="Z20" s="24"/>
      <c r="AA20" s="24"/>
      <c r="AB20" s="24"/>
      <c r="AC20" s="24"/>
      <c r="AD20" s="24"/>
      <c r="AE20" s="24"/>
      <c r="AF20" s="24"/>
      <c r="AG20" s="24"/>
      <c r="AH20" s="24"/>
      <c r="AI20" s="24"/>
      <c r="AJ20" s="24"/>
      <c r="AK20" s="24"/>
      <c r="AL20" s="24"/>
      <c r="AM20" s="24"/>
      <c r="AN20" s="24"/>
      <c r="AO20" s="24"/>
      <c r="AP20" s="24"/>
      <c r="AQ20" s="24"/>
    </row>
    <row r="21" spans="1:43" x14ac:dyDescent="0.3">
      <c r="A21" s="24"/>
      <c r="B21" s="24"/>
      <c r="C21" s="24"/>
      <c r="D21" s="24"/>
      <c r="E21" s="24"/>
      <c r="F21" s="24"/>
      <c r="G21" s="24"/>
      <c r="H21" s="24"/>
      <c r="I21" s="24"/>
      <c r="J21" s="24"/>
      <c r="K21" s="24"/>
      <c r="L21" s="24"/>
      <c r="M21" s="24"/>
      <c r="N21" s="32" t="str">
        <f>Pivots!A88</f>
        <v>C0011</v>
      </c>
      <c r="O21" s="33">
        <f>Pivots!B88</f>
        <v>1163</v>
      </c>
      <c r="P21" s="33">
        <f>Pivots!C88</f>
        <v>1180</v>
      </c>
      <c r="Q21" s="33">
        <f>Pivots!D88</f>
        <v>1616</v>
      </c>
      <c r="R21" s="33">
        <f>Pivots!E88</f>
        <v>1043</v>
      </c>
      <c r="S21" s="33">
        <f>Pivots!F88</f>
        <v>1747</v>
      </c>
      <c r="T21" s="33">
        <f>Pivots!G88</f>
        <v>6749</v>
      </c>
      <c r="U21" s="34"/>
      <c r="V21" s="24"/>
      <c r="W21" s="24"/>
      <c r="X21" s="24"/>
      <c r="Y21" s="24"/>
      <c r="Z21" s="24"/>
      <c r="AA21" s="24"/>
      <c r="AB21" s="24"/>
      <c r="AC21" s="24"/>
      <c r="AD21" s="24"/>
      <c r="AE21" s="24"/>
      <c r="AF21" s="24"/>
      <c r="AG21" s="24"/>
      <c r="AH21" s="24"/>
      <c r="AI21" s="24"/>
      <c r="AJ21" s="24"/>
      <c r="AK21" s="24"/>
      <c r="AL21" s="24"/>
      <c r="AM21" s="24"/>
      <c r="AN21" s="24"/>
      <c r="AO21" s="24"/>
      <c r="AP21" s="24"/>
      <c r="AQ21" s="24"/>
    </row>
    <row r="22" spans="1:43" x14ac:dyDescent="0.3">
      <c r="A22" s="24"/>
      <c r="B22" s="24"/>
      <c r="C22" s="24"/>
      <c r="D22" s="24"/>
      <c r="E22" s="24"/>
      <c r="F22" s="24"/>
      <c r="G22" s="24"/>
      <c r="H22" s="24"/>
      <c r="I22" s="24"/>
      <c r="J22" s="24"/>
      <c r="K22" s="24"/>
      <c r="L22" s="24"/>
      <c r="M22" s="24"/>
      <c r="N22" s="32" t="str">
        <f>Pivots!A89</f>
        <v>C0012</v>
      </c>
      <c r="O22" s="33">
        <f>Pivots!B89</f>
        <v>1438</v>
      </c>
      <c r="P22" s="33">
        <f>Pivots!C89</f>
        <v>1616</v>
      </c>
      <c r="Q22" s="33">
        <f>Pivots!D89</f>
        <v>866</v>
      </c>
      <c r="R22" s="33">
        <f>Pivots!E89</f>
        <v>829</v>
      </c>
      <c r="S22" s="33">
        <f>Pivots!F89</f>
        <v>2070</v>
      </c>
      <c r="T22" s="33">
        <f>Pivots!G89</f>
        <v>6819</v>
      </c>
      <c r="U22" s="34"/>
      <c r="V22" s="24"/>
      <c r="W22" s="24"/>
      <c r="X22" s="24"/>
      <c r="Y22" s="24"/>
      <c r="Z22" s="24"/>
      <c r="AA22" s="24"/>
      <c r="AB22" s="24"/>
      <c r="AC22" s="24"/>
      <c r="AD22" s="24"/>
      <c r="AE22" s="24"/>
      <c r="AF22" s="24"/>
      <c r="AG22" s="24"/>
      <c r="AH22" s="24"/>
      <c r="AI22" s="24"/>
      <c r="AJ22" s="24"/>
      <c r="AK22" s="24"/>
      <c r="AL22" s="24"/>
      <c r="AM22" s="24"/>
      <c r="AN22" s="24"/>
      <c r="AO22" s="24"/>
      <c r="AP22" s="24"/>
      <c r="AQ22" s="24"/>
    </row>
    <row r="23" spans="1:43" x14ac:dyDescent="0.3">
      <c r="A23" s="24"/>
      <c r="B23" s="24"/>
      <c r="C23" s="24"/>
      <c r="D23" s="24"/>
      <c r="E23" s="24"/>
      <c r="F23" s="24"/>
      <c r="G23" s="24"/>
      <c r="H23" s="24"/>
      <c r="I23" s="24"/>
      <c r="J23" s="24"/>
      <c r="K23" s="24"/>
      <c r="L23" s="24"/>
      <c r="M23" s="24"/>
      <c r="N23" s="39" t="str">
        <f>Pivots!A90</f>
        <v>Cleveland</v>
      </c>
      <c r="O23" s="33"/>
      <c r="P23" s="33"/>
      <c r="Q23" s="33"/>
      <c r="R23" s="33"/>
      <c r="S23" s="33"/>
      <c r="T23" s="33"/>
      <c r="U23" s="34"/>
      <c r="V23" s="24"/>
      <c r="W23" s="24"/>
      <c r="X23" s="24"/>
      <c r="Y23" s="24"/>
      <c r="Z23" s="24"/>
      <c r="AA23" s="24"/>
      <c r="AB23" s="24"/>
      <c r="AC23" s="24"/>
      <c r="AD23" s="24"/>
      <c r="AE23" s="24"/>
      <c r="AF23" s="24"/>
      <c r="AG23" s="24"/>
      <c r="AH23" s="24"/>
      <c r="AI23" s="24"/>
      <c r="AJ23" s="24"/>
      <c r="AK23" s="24"/>
      <c r="AL23" s="24"/>
      <c r="AM23" s="24"/>
      <c r="AN23" s="24"/>
      <c r="AO23" s="24"/>
      <c r="AP23" s="24"/>
      <c r="AQ23" s="24"/>
    </row>
    <row r="24" spans="1:43" x14ac:dyDescent="0.3">
      <c r="A24" s="24"/>
      <c r="B24" s="24"/>
      <c r="C24" s="24"/>
      <c r="D24" s="24"/>
      <c r="E24" s="24"/>
      <c r="F24" s="24"/>
      <c r="G24" s="24"/>
      <c r="H24" s="24"/>
      <c r="I24" s="24"/>
      <c r="J24" s="24"/>
      <c r="K24" s="24"/>
      <c r="L24" s="24"/>
      <c r="M24" s="24"/>
      <c r="N24" s="32" t="str">
        <f>Pivots!A91</f>
        <v>C0002</v>
      </c>
      <c r="O24" s="33">
        <f>Pivots!B91</f>
        <v>1233</v>
      </c>
      <c r="P24" s="33">
        <f>Pivots!C91</f>
        <v>223</v>
      </c>
      <c r="Q24" s="33">
        <f>Pivots!D91</f>
        <v>1680</v>
      </c>
      <c r="R24" s="33">
        <f>Pivots!E91</f>
        <v>990</v>
      </c>
      <c r="S24" s="33">
        <f>Pivots!F91</f>
        <v>1508</v>
      </c>
      <c r="T24" s="33">
        <f>Pivots!G91</f>
        <v>5634</v>
      </c>
      <c r="U24" s="34"/>
      <c r="V24" s="24"/>
      <c r="W24" s="24"/>
      <c r="X24" s="24"/>
      <c r="Y24" s="24"/>
      <c r="Z24" s="24"/>
      <c r="AA24" s="24"/>
      <c r="AB24" s="24"/>
      <c r="AC24" s="24"/>
      <c r="AD24" s="24"/>
      <c r="AE24" s="24"/>
      <c r="AF24" s="24"/>
      <c r="AG24" s="24"/>
      <c r="AH24" s="24"/>
      <c r="AI24" s="24"/>
      <c r="AJ24" s="24"/>
      <c r="AK24" s="24"/>
      <c r="AL24" s="24"/>
      <c r="AM24" s="24"/>
      <c r="AN24" s="24"/>
      <c r="AO24" s="24"/>
      <c r="AP24" s="24"/>
      <c r="AQ24" s="24"/>
    </row>
    <row r="25" spans="1:43" x14ac:dyDescent="0.3">
      <c r="A25" s="24"/>
      <c r="B25" s="24"/>
      <c r="C25" s="24"/>
      <c r="D25" s="24"/>
      <c r="E25" s="24"/>
      <c r="F25" s="24"/>
      <c r="G25" s="24"/>
      <c r="H25" s="24"/>
      <c r="I25" s="24"/>
      <c r="J25" s="24"/>
      <c r="K25" s="24"/>
      <c r="L25" s="24"/>
      <c r="M25" s="24"/>
      <c r="N25" s="32" t="str">
        <f>Pivots!A92</f>
        <v>C0007</v>
      </c>
      <c r="O25" s="33">
        <f>Pivots!B92</f>
        <v>1598</v>
      </c>
      <c r="P25" s="33">
        <f>Pivots!C92</f>
        <v>1907</v>
      </c>
      <c r="Q25" s="33">
        <f>Pivots!D92</f>
        <v>869</v>
      </c>
      <c r="R25" s="33">
        <f>Pivots!E92</f>
        <v>1426</v>
      </c>
      <c r="S25" s="33">
        <f>Pivots!F92</f>
        <v>1416</v>
      </c>
      <c r="T25" s="33">
        <f>Pivots!G92</f>
        <v>7216</v>
      </c>
      <c r="U25" s="34"/>
      <c r="V25" s="24"/>
      <c r="W25" s="24"/>
      <c r="X25" s="24"/>
      <c r="Y25" s="24"/>
      <c r="Z25" s="24"/>
      <c r="AA25" s="24"/>
      <c r="AB25" s="24"/>
      <c r="AC25" s="24"/>
      <c r="AD25" s="24"/>
      <c r="AE25" s="24"/>
      <c r="AF25" s="24"/>
      <c r="AG25" s="24"/>
      <c r="AH25" s="24"/>
      <c r="AI25" s="24"/>
      <c r="AJ25" s="24"/>
      <c r="AK25" s="24"/>
      <c r="AL25" s="24"/>
      <c r="AM25" s="24"/>
      <c r="AN25" s="24"/>
      <c r="AO25" s="24"/>
      <c r="AP25" s="24"/>
      <c r="AQ25" s="24"/>
    </row>
    <row r="26" spans="1:43" x14ac:dyDescent="0.3">
      <c r="A26" s="24"/>
      <c r="B26" s="24"/>
      <c r="C26" s="24"/>
      <c r="D26" s="24"/>
      <c r="E26" s="24"/>
      <c r="F26" s="24"/>
      <c r="G26" s="24"/>
      <c r="H26" s="24"/>
      <c r="I26" s="24"/>
      <c r="J26" s="24"/>
      <c r="K26" s="24"/>
      <c r="L26" s="24"/>
      <c r="M26" s="24"/>
      <c r="N26" s="32" t="str">
        <f>Pivots!A93</f>
        <v>C0008</v>
      </c>
      <c r="O26" s="33">
        <f>Pivots!B93</f>
        <v>900</v>
      </c>
      <c r="P26" s="33">
        <f>Pivots!C93</f>
        <v>1016</v>
      </c>
      <c r="Q26" s="33">
        <f>Pivots!D93</f>
        <v>960</v>
      </c>
      <c r="R26" s="33">
        <f>Pivots!E93</f>
        <v>940</v>
      </c>
      <c r="S26" s="33">
        <f>Pivots!F93</f>
        <v>1193</v>
      </c>
      <c r="T26" s="33">
        <f>Pivots!G93</f>
        <v>5009</v>
      </c>
      <c r="U26" s="34"/>
      <c r="V26" s="24"/>
      <c r="W26" s="24"/>
      <c r="X26" s="24"/>
      <c r="Y26" s="24"/>
      <c r="Z26" s="24"/>
      <c r="AA26" s="24"/>
      <c r="AB26" s="24"/>
      <c r="AC26" s="24"/>
      <c r="AD26" s="24"/>
      <c r="AE26" s="24"/>
      <c r="AF26" s="24"/>
      <c r="AG26" s="24"/>
      <c r="AH26" s="24"/>
      <c r="AI26" s="24"/>
      <c r="AJ26" s="24"/>
      <c r="AK26" s="24"/>
      <c r="AL26" s="24"/>
      <c r="AM26" s="24"/>
      <c r="AN26" s="24"/>
      <c r="AO26" s="24"/>
      <c r="AP26" s="24"/>
      <c r="AQ26" s="24"/>
    </row>
    <row r="27" spans="1:43" x14ac:dyDescent="0.3">
      <c r="A27" s="24"/>
      <c r="B27" s="24"/>
      <c r="C27" s="24"/>
      <c r="D27" s="24"/>
      <c r="E27" s="24"/>
      <c r="F27" s="24"/>
      <c r="G27" s="24"/>
      <c r="H27" s="24"/>
      <c r="I27" s="24"/>
      <c r="J27" s="24"/>
      <c r="K27" s="24"/>
      <c r="L27" s="24"/>
      <c r="M27" s="24"/>
      <c r="N27" s="32" t="str">
        <f>Pivots!A94</f>
        <v>C0010</v>
      </c>
      <c r="O27" s="33">
        <f>Pivots!B94</f>
        <v>900</v>
      </c>
      <c r="P27" s="33">
        <f>Pivots!C94</f>
        <v>1470</v>
      </c>
      <c r="Q27" s="33">
        <f>Pivots!D94</f>
        <v>1617</v>
      </c>
      <c r="R27" s="33">
        <f>Pivots!E94</f>
        <v>1314</v>
      </c>
      <c r="S27" s="33">
        <f>Pivots!F94</f>
        <v>941</v>
      </c>
      <c r="T27" s="33">
        <f>Pivots!G94</f>
        <v>6242</v>
      </c>
      <c r="U27" s="34"/>
      <c r="V27" s="24"/>
      <c r="W27" s="24"/>
      <c r="X27" s="24"/>
      <c r="Y27" s="24"/>
      <c r="Z27" s="24"/>
      <c r="AA27" s="24"/>
      <c r="AB27" s="24"/>
      <c r="AC27" s="24"/>
      <c r="AD27" s="24"/>
      <c r="AE27" s="24"/>
      <c r="AF27" s="24"/>
      <c r="AG27" s="24"/>
      <c r="AH27" s="24"/>
      <c r="AI27" s="24"/>
      <c r="AJ27" s="24"/>
      <c r="AK27" s="24"/>
      <c r="AL27" s="24"/>
      <c r="AM27" s="24"/>
      <c r="AN27" s="24"/>
      <c r="AO27" s="24"/>
      <c r="AP27" s="24"/>
      <c r="AQ27" s="24"/>
    </row>
    <row r="28" spans="1:43" x14ac:dyDescent="0.3">
      <c r="A28" s="24"/>
      <c r="B28" s="24"/>
      <c r="C28" s="24"/>
      <c r="D28" s="24"/>
      <c r="E28" s="24"/>
      <c r="F28" s="24"/>
      <c r="G28" s="24"/>
      <c r="H28" s="24"/>
      <c r="I28" s="24"/>
      <c r="J28" s="24"/>
      <c r="K28" s="24"/>
      <c r="L28" s="24"/>
      <c r="M28" s="24"/>
      <c r="N28" s="32" t="str">
        <f>Pivots!A95</f>
        <v>C0013</v>
      </c>
      <c r="O28" s="33">
        <f>Pivots!B95</f>
        <v>1255</v>
      </c>
      <c r="P28" s="33">
        <f>Pivots!C95</f>
        <v>516</v>
      </c>
      <c r="Q28" s="33">
        <f>Pivots!D95</f>
        <v>1874</v>
      </c>
      <c r="R28" s="33">
        <f>Pivots!E95</f>
        <v>1863</v>
      </c>
      <c r="S28" s="33">
        <f>Pivots!F95</f>
        <v>1722</v>
      </c>
      <c r="T28" s="33">
        <f>Pivots!G95</f>
        <v>7230</v>
      </c>
      <c r="U28" s="34"/>
      <c r="V28" s="24"/>
      <c r="W28" s="24"/>
      <c r="X28" s="24"/>
      <c r="Y28" s="24"/>
      <c r="Z28" s="24"/>
      <c r="AA28" s="24"/>
      <c r="AB28" s="24"/>
      <c r="AC28" s="24"/>
      <c r="AD28" s="24"/>
      <c r="AE28" s="24"/>
      <c r="AF28" s="24"/>
      <c r="AG28" s="24"/>
      <c r="AH28" s="24"/>
      <c r="AI28" s="24"/>
      <c r="AJ28" s="24"/>
      <c r="AK28" s="24"/>
      <c r="AL28" s="24"/>
      <c r="AM28" s="24"/>
      <c r="AN28" s="24"/>
      <c r="AO28" s="24"/>
      <c r="AP28" s="24"/>
      <c r="AQ28" s="24"/>
    </row>
    <row r="29" spans="1:43" x14ac:dyDescent="0.3">
      <c r="A29" s="24"/>
      <c r="B29" s="24"/>
      <c r="C29" s="24"/>
      <c r="D29" s="24"/>
      <c r="E29" s="24"/>
      <c r="F29" s="24"/>
      <c r="G29" s="24"/>
      <c r="H29" s="24"/>
      <c r="I29" s="24"/>
      <c r="J29" s="24"/>
      <c r="K29" s="24"/>
      <c r="L29" s="24"/>
      <c r="M29" s="24"/>
      <c r="N29" s="32" t="str">
        <f>Pivots!A96</f>
        <v>C0015</v>
      </c>
      <c r="O29" s="33">
        <f>Pivots!B96</f>
        <v>1138</v>
      </c>
      <c r="P29" s="33">
        <f>Pivots!C96</f>
        <v>1898</v>
      </c>
      <c r="Q29" s="33">
        <f>Pivots!D96</f>
        <v>1482</v>
      </c>
      <c r="R29" s="33">
        <f>Pivots!E96</f>
        <v>846</v>
      </c>
      <c r="S29" s="33">
        <f>Pivots!F96</f>
        <v>1154</v>
      </c>
      <c r="T29" s="33">
        <f>Pivots!G96</f>
        <v>6518</v>
      </c>
      <c r="U29" s="34" t="s">
        <v>1042</v>
      </c>
      <c r="V29" s="24"/>
      <c r="W29" s="24"/>
      <c r="X29" s="24"/>
      <c r="Y29" s="24"/>
      <c r="Z29" s="24"/>
      <c r="AA29" s="24"/>
      <c r="AB29" s="24"/>
      <c r="AC29" s="24"/>
      <c r="AD29" s="24"/>
      <c r="AE29" s="24"/>
      <c r="AF29" s="24"/>
      <c r="AG29" s="24"/>
      <c r="AH29" s="24"/>
      <c r="AI29" s="24"/>
      <c r="AJ29" s="24"/>
      <c r="AK29" s="24"/>
      <c r="AL29" s="24"/>
      <c r="AM29" s="24"/>
      <c r="AN29" s="24"/>
      <c r="AO29" s="24"/>
      <c r="AP29" s="24"/>
      <c r="AQ29" s="24"/>
    </row>
    <row r="30" spans="1:43" x14ac:dyDescent="0.3">
      <c r="A30" s="24"/>
      <c r="B30" s="24"/>
      <c r="C30" s="24"/>
      <c r="D30" s="24"/>
      <c r="E30" s="24"/>
      <c r="F30" s="24"/>
      <c r="G30" s="24"/>
      <c r="H30" s="24"/>
      <c r="I30" s="24"/>
      <c r="J30" s="24"/>
      <c r="K30" s="24"/>
      <c r="L30" s="24"/>
      <c r="M30" s="24"/>
      <c r="N30" s="39" t="str">
        <f>Pivots!A97</f>
        <v>Columbus</v>
      </c>
      <c r="O30" s="33"/>
      <c r="P30" s="33"/>
      <c r="Q30" s="33"/>
      <c r="R30" s="33"/>
      <c r="S30" s="33"/>
      <c r="T30" s="33"/>
      <c r="U30" s="34"/>
      <c r="V30" s="24"/>
      <c r="W30" s="24"/>
      <c r="X30" s="24"/>
      <c r="Y30" s="24"/>
      <c r="Z30" s="24"/>
      <c r="AA30" s="24"/>
      <c r="AB30" s="24"/>
      <c r="AC30" s="24"/>
      <c r="AD30" s="24"/>
      <c r="AE30" s="24"/>
      <c r="AF30" s="24"/>
      <c r="AG30" s="24"/>
      <c r="AH30" s="24"/>
      <c r="AI30" s="24"/>
      <c r="AJ30" s="24"/>
      <c r="AK30" s="24"/>
      <c r="AL30" s="24"/>
      <c r="AM30" s="24"/>
      <c r="AN30" s="24"/>
      <c r="AO30" s="24"/>
      <c r="AP30" s="24"/>
      <c r="AQ30" s="24"/>
    </row>
    <row r="31" spans="1:43" x14ac:dyDescent="0.3">
      <c r="A31" s="24"/>
      <c r="B31" s="24"/>
      <c r="C31" s="24"/>
      <c r="D31" s="24"/>
      <c r="E31" s="24"/>
      <c r="F31" s="24"/>
      <c r="G31" s="24"/>
      <c r="H31" s="24"/>
      <c r="I31" s="24"/>
      <c r="J31" s="24"/>
      <c r="K31" s="24"/>
      <c r="L31" s="24"/>
      <c r="M31" s="24"/>
      <c r="N31" s="32" t="str">
        <f>Pivots!A98</f>
        <v>C0001</v>
      </c>
      <c r="O31" s="33">
        <f>Pivots!B98</f>
        <v>1655</v>
      </c>
      <c r="P31" s="33">
        <f>Pivots!C98</f>
        <v>805</v>
      </c>
      <c r="Q31" s="33">
        <f>Pivots!D98</f>
        <v>2263</v>
      </c>
      <c r="R31" s="33">
        <f>Pivots!E98</f>
        <v>987</v>
      </c>
      <c r="S31" s="33">
        <f>Pivots!F98</f>
        <v>1075</v>
      </c>
      <c r="T31" s="33">
        <f>Pivots!G98</f>
        <v>6785</v>
      </c>
      <c r="U31" s="34"/>
      <c r="V31" s="24"/>
      <c r="W31" s="24"/>
      <c r="X31" s="24"/>
      <c r="Y31" s="24"/>
      <c r="Z31" s="24"/>
      <c r="AA31" s="24"/>
      <c r="AB31" s="24"/>
      <c r="AC31" s="24"/>
      <c r="AD31" s="24"/>
      <c r="AE31" s="24"/>
      <c r="AF31" s="24"/>
      <c r="AG31" s="24"/>
      <c r="AH31" s="24"/>
      <c r="AI31" s="24"/>
      <c r="AJ31" s="24"/>
      <c r="AK31" s="24"/>
      <c r="AL31" s="24"/>
      <c r="AM31" s="24"/>
      <c r="AN31" s="24"/>
      <c r="AO31" s="24"/>
      <c r="AP31" s="24"/>
      <c r="AQ31" s="24"/>
    </row>
    <row r="32" spans="1:43" x14ac:dyDescent="0.3">
      <c r="A32" s="24"/>
      <c r="B32" s="24"/>
      <c r="C32" s="24"/>
      <c r="D32" s="24"/>
      <c r="E32" s="24"/>
      <c r="F32" s="24"/>
      <c r="G32" s="24"/>
      <c r="H32" s="24"/>
      <c r="I32" s="24"/>
      <c r="J32" s="24"/>
      <c r="K32" s="24"/>
      <c r="L32" s="24"/>
      <c r="M32" s="24"/>
      <c r="N32" s="32" t="str">
        <f>Pivots!A99</f>
        <v>C0005</v>
      </c>
      <c r="O32" s="33">
        <f>Pivots!B99</f>
        <v>1104</v>
      </c>
      <c r="P32" s="33">
        <f>Pivots!C99</f>
        <v>2280</v>
      </c>
      <c r="Q32" s="33">
        <f>Pivots!D99</f>
        <v>1445</v>
      </c>
      <c r="R32" s="33">
        <f>Pivots!E99</f>
        <v>1722</v>
      </c>
      <c r="S32" s="33">
        <f>Pivots!F99</f>
        <v>1196</v>
      </c>
      <c r="T32" s="33">
        <f>Pivots!G99</f>
        <v>7747</v>
      </c>
      <c r="U32" s="34"/>
      <c r="V32" s="24"/>
      <c r="W32" s="24"/>
      <c r="X32" s="24"/>
      <c r="Y32" s="24"/>
      <c r="Z32" s="24"/>
      <c r="AA32" s="24"/>
      <c r="AB32" s="24"/>
      <c r="AC32" s="24"/>
      <c r="AD32" s="24"/>
      <c r="AE32" s="24"/>
      <c r="AF32" s="24"/>
      <c r="AG32" s="24"/>
      <c r="AH32" s="24"/>
      <c r="AI32" s="24"/>
      <c r="AJ32" s="24"/>
      <c r="AK32" s="24"/>
      <c r="AL32" s="24"/>
      <c r="AM32" s="24"/>
      <c r="AN32" s="24"/>
      <c r="AO32" s="24"/>
      <c r="AP32" s="24"/>
      <c r="AQ32" s="24"/>
    </row>
    <row r="33" spans="1:43" x14ac:dyDescent="0.3">
      <c r="A33" s="24"/>
      <c r="B33" s="24"/>
      <c r="C33" s="24"/>
      <c r="D33" s="24"/>
      <c r="E33" s="24"/>
      <c r="F33" s="24"/>
      <c r="G33" s="24"/>
      <c r="H33" s="24"/>
      <c r="I33" s="24"/>
      <c r="J33" s="24"/>
      <c r="K33" s="24"/>
      <c r="L33" s="24"/>
      <c r="M33" s="24"/>
      <c r="N33" s="32" t="str">
        <f>Pivots!A100</f>
        <v>C0006</v>
      </c>
      <c r="O33" s="33">
        <f>Pivots!B100</f>
        <v>372</v>
      </c>
      <c r="P33" s="33">
        <f>Pivots!C100</f>
        <v>1818</v>
      </c>
      <c r="Q33" s="33">
        <f>Pivots!D100</f>
        <v>1346</v>
      </c>
      <c r="R33" s="33">
        <f>Pivots!E100</f>
        <v>1156</v>
      </c>
      <c r="S33" s="33">
        <f>Pivots!F100</f>
        <v>1484</v>
      </c>
      <c r="T33" s="33">
        <f>Pivots!G100</f>
        <v>6176</v>
      </c>
      <c r="U33" s="34"/>
      <c r="V33" s="24"/>
      <c r="W33" s="24"/>
      <c r="X33" s="24"/>
      <c r="Y33" s="24"/>
      <c r="Z33" s="24"/>
      <c r="AA33" s="24"/>
      <c r="AB33" s="24"/>
      <c r="AC33" s="24"/>
      <c r="AD33" s="24"/>
      <c r="AE33" s="24"/>
      <c r="AF33" s="24"/>
      <c r="AG33" s="24"/>
      <c r="AH33" s="24"/>
      <c r="AI33" s="24"/>
      <c r="AJ33" s="24"/>
      <c r="AK33" s="24"/>
      <c r="AL33" s="24"/>
      <c r="AM33" s="24"/>
      <c r="AN33" s="24"/>
      <c r="AO33" s="24"/>
      <c r="AP33" s="24"/>
      <c r="AQ33" s="24"/>
    </row>
    <row r="34" spans="1:43" x14ac:dyDescent="0.3">
      <c r="A34" s="24"/>
      <c r="B34" s="24"/>
      <c r="C34" s="24"/>
      <c r="D34" s="24"/>
      <c r="E34" s="24"/>
      <c r="F34" s="24"/>
      <c r="G34" s="24"/>
      <c r="H34" s="24"/>
      <c r="I34" s="24"/>
      <c r="J34" s="24"/>
      <c r="K34" s="24"/>
      <c r="L34" s="24"/>
      <c r="M34" s="24"/>
      <c r="N34" s="32" t="str">
        <f>Pivots!A101</f>
        <v>C0009</v>
      </c>
      <c r="O34" s="33">
        <f>Pivots!B101</f>
        <v>1415</v>
      </c>
      <c r="P34" s="33">
        <f>Pivots!C101</f>
        <v>1271</v>
      </c>
      <c r="Q34" s="33">
        <f>Pivots!D101</f>
        <v>1214</v>
      </c>
      <c r="R34" s="33">
        <f>Pivots!E101</f>
        <v>1135</v>
      </c>
      <c r="S34" s="33">
        <f>Pivots!F101</f>
        <v>1566</v>
      </c>
      <c r="T34" s="33">
        <f>Pivots!G101</f>
        <v>6601</v>
      </c>
      <c r="U34" s="34"/>
      <c r="V34" s="24"/>
      <c r="W34" s="24"/>
      <c r="X34" s="24"/>
      <c r="Y34" s="24"/>
      <c r="Z34" s="24"/>
      <c r="AA34" s="24"/>
      <c r="AB34" s="24"/>
      <c r="AC34" s="24"/>
      <c r="AD34" s="24"/>
      <c r="AE34" s="24"/>
      <c r="AF34" s="24"/>
      <c r="AG34" s="24"/>
      <c r="AH34" s="24"/>
      <c r="AI34" s="24"/>
      <c r="AJ34" s="24"/>
      <c r="AK34" s="24"/>
      <c r="AL34" s="24"/>
      <c r="AM34" s="24"/>
      <c r="AN34" s="24"/>
      <c r="AO34" s="24"/>
      <c r="AP34" s="24"/>
      <c r="AQ34" s="24"/>
    </row>
    <row r="35" spans="1:43" x14ac:dyDescent="0.3">
      <c r="A35" s="24"/>
      <c r="B35" s="24"/>
      <c r="C35" s="24"/>
      <c r="D35" s="24"/>
      <c r="E35" s="24"/>
      <c r="F35" s="24"/>
      <c r="G35" s="24"/>
      <c r="H35" s="24"/>
      <c r="I35" s="24"/>
      <c r="J35" s="24"/>
      <c r="K35" s="24"/>
      <c r="L35" s="24"/>
      <c r="M35" s="24"/>
      <c r="N35" s="35" t="str">
        <f>Pivots!A102</f>
        <v>C0014</v>
      </c>
      <c r="O35" s="36">
        <f>Pivots!B102</f>
        <v>1362</v>
      </c>
      <c r="P35" s="36">
        <f>Pivots!C102</f>
        <v>1363</v>
      </c>
      <c r="Q35" s="36">
        <f>Pivots!D102</f>
        <v>1152</v>
      </c>
      <c r="R35" s="36">
        <f>Pivots!E102</f>
        <v>777</v>
      </c>
      <c r="S35" s="36">
        <f>Pivots!F102</f>
        <v>750</v>
      </c>
      <c r="T35" s="36">
        <f>Pivots!G102</f>
        <v>5404</v>
      </c>
      <c r="U35" s="37"/>
      <c r="V35" s="24"/>
      <c r="W35" s="24"/>
      <c r="X35" s="24"/>
      <c r="Y35" s="24"/>
      <c r="Z35" s="24"/>
      <c r="AA35" s="24"/>
      <c r="AB35" s="24"/>
      <c r="AC35" s="24"/>
      <c r="AD35" s="24"/>
      <c r="AE35" s="24"/>
      <c r="AF35" s="24"/>
      <c r="AG35" s="24"/>
      <c r="AH35" s="24"/>
      <c r="AI35" s="24"/>
      <c r="AJ35" s="24"/>
      <c r="AK35" s="24"/>
      <c r="AL35" s="24"/>
      <c r="AM35" s="24"/>
      <c r="AN35" s="24"/>
      <c r="AO35" s="24"/>
      <c r="AP35" s="24"/>
      <c r="AQ35" s="24"/>
    </row>
    <row r="36" spans="1:43" x14ac:dyDescent="0.3">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row>
    <row r="37" spans="1:43" x14ac:dyDescent="0.3">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row>
    <row r="38" spans="1:43" x14ac:dyDescent="0.3">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row>
    <row r="39" spans="1:43" x14ac:dyDescent="0.3">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row>
    <row r="40" spans="1:43" x14ac:dyDescent="0.3">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row>
    <row r="41" spans="1:43" x14ac:dyDescent="0.3">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row>
    <row r="42" spans="1:43" x14ac:dyDescent="0.3">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row>
    <row r="43" spans="1:43" x14ac:dyDescent="0.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row>
    <row r="44" spans="1:43"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row>
    <row r="45" spans="1:43"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row>
    <row r="46" spans="1:43" x14ac:dyDescent="0.3">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row>
    <row r="47" spans="1:43" x14ac:dyDescent="0.3">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row>
    <row r="48" spans="1:43" x14ac:dyDescent="0.3">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row>
    <row r="49" spans="1:43" x14ac:dyDescent="0.3">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row>
    <row r="50" spans="1:43" x14ac:dyDescent="0.3">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row>
    <row r="51" spans="1:43" x14ac:dyDescent="0.3">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row>
    <row r="52" spans="1:43" x14ac:dyDescent="0.3">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row>
    <row r="53" spans="1:43" x14ac:dyDescent="0.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row>
    <row r="54" spans="1:43" x14ac:dyDescent="0.3">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row>
    <row r="55" spans="1:43" x14ac:dyDescent="0.3">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row>
    <row r="56" spans="1:43" x14ac:dyDescent="0.3">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row>
    <row r="57" spans="1:43" x14ac:dyDescent="0.3">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row>
    <row r="58" spans="1:43" x14ac:dyDescent="0.3">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row>
    <row r="59" spans="1:43" x14ac:dyDescent="0.3">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row>
    <row r="60" spans="1:43" x14ac:dyDescent="0.3">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row>
    <row r="61" spans="1:43" x14ac:dyDescent="0.3">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row>
    <row r="62" spans="1:43" x14ac:dyDescent="0.3">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row>
    <row r="63" spans="1:43" x14ac:dyDescent="0.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row>
    <row r="64" spans="1:43" x14ac:dyDescent="0.3">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row>
    <row r="65" spans="1:43" x14ac:dyDescent="0.3">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row>
    <row r="66" spans="1:43" x14ac:dyDescent="0.3">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row>
    <row r="67" spans="1:43" x14ac:dyDescent="0.3">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row>
    <row r="68" spans="1:43" x14ac:dyDescent="0.3">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row>
    <row r="69" spans="1:43" x14ac:dyDescent="0.3">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row>
    <row r="70" spans="1:43" x14ac:dyDescent="0.3">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row>
    <row r="71" spans="1:43" x14ac:dyDescent="0.3">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row>
    <row r="72" spans="1:43" x14ac:dyDescent="0.3">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row>
    <row r="73" spans="1:43" x14ac:dyDescent="0.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row>
    <row r="74" spans="1:43" x14ac:dyDescent="0.3">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row>
    <row r="75" spans="1:43" x14ac:dyDescent="0.3">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row>
    <row r="76" spans="1:43" x14ac:dyDescent="0.3">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row>
    <row r="77" spans="1:43" x14ac:dyDescent="0.3">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row>
    <row r="78" spans="1:43" x14ac:dyDescent="0.3">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row>
    <row r="79" spans="1:43" x14ac:dyDescent="0.3">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row>
    <row r="80" spans="1:43" x14ac:dyDescent="0.3">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row>
    <row r="81" spans="1:43" x14ac:dyDescent="0.3">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row>
    <row r="82" spans="1:43" x14ac:dyDescent="0.3">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row>
    <row r="83" spans="1:43" x14ac:dyDescent="0.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row>
    <row r="84" spans="1:43" x14ac:dyDescent="0.3">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row>
    <row r="85" spans="1:43" x14ac:dyDescent="0.3">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row>
    <row r="86" spans="1:43" x14ac:dyDescent="0.3">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row>
    <row r="87" spans="1:43" x14ac:dyDescent="0.3">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row>
    <row r="88" spans="1:43" x14ac:dyDescent="0.3">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row>
    <row r="89" spans="1:43" x14ac:dyDescent="0.3">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row>
    <row r="90" spans="1:43" x14ac:dyDescent="0.3">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row>
    <row r="91" spans="1:43" x14ac:dyDescent="0.3">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row>
    <row r="92" spans="1:43" x14ac:dyDescent="0.3">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row>
    <row r="93" spans="1:43" x14ac:dyDescent="0.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row>
    <row r="94" spans="1:43" x14ac:dyDescent="0.3">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row>
    <row r="95" spans="1:43" x14ac:dyDescent="0.3">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row>
    <row r="96" spans="1:43" x14ac:dyDescent="0.3">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row>
    <row r="97" spans="1:43" x14ac:dyDescent="0.3">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row>
    <row r="98" spans="1:43" x14ac:dyDescent="0.3">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row>
    <row r="99" spans="1:43" x14ac:dyDescent="0.3">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row>
    <row r="100" spans="1:43" x14ac:dyDescent="0.3">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row>
    <row r="101" spans="1:43" x14ac:dyDescent="0.3">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row>
    <row r="102" spans="1:43" x14ac:dyDescent="0.3">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row>
    <row r="103" spans="1:43" x14ac:dyDescent="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row>
    <row r="104" spans="1:43" x14ac:dyDescent="0.3">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row>
    <row r="105" spans="1:43" x14ac:dyDescent="0.3">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row>
    <row r="106" spans="1:43" x14ac:dyDescent="0.3">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row>
    <row r="107" spans="1:43" x14ac:dyDescent="0.3">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row>
    <row r="108" spans="1:43" x14ac:dyDescent="0.3">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row>
    <row r="109" spans="1:43" x14ac:dyDescent="0.3">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row>
    <row r="110" spans="1:43" x14ac:dyDescent="0.3">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row>
    <row r="111" spans="1:43" x14ac:dyDescent="0.3">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row>
    <row r="112" spans="1:43" x14ac:dyDescent="0.3">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row>
    <row r="113" spans="1:43" x14ac:dyDescent="0.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row>
    <row r="114" spans="1:43" x14ac:dyDescent="0.3">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row>
    <row r="115" spans="1:43" x14ac:dyDescent="0.3">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row>
    <row r="116" spans="1:43" x14ac:dyDescent="0.3">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row>
    <row r="117" spans="1:43" x14ac:dyDescent="0.3">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row>
    <row r="118" spans="1:43" x14ac:dyDescent="0.3">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row>
    <row r="119" spans="1:43" x14ac:dyDescent="0.3">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row>
    <row r="120" spans="1:43" x14ac:dyDescent="0.3">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row>
    <row r="121" spans="1:43" x14ac:dyDescent="0.3">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row>
    <row r="122" spans="1:43" x14ac:dyDescent="0.3">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row>
    <row r="123" spans="1:43" x14ac:dyDescent="0.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row>
    <row r="124" spans="1:43" x14ac:dyDescent="0.3">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row>
    <row r="125" spans="1:43" x14ac:dyDescent="0.3">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row>
    <row r="126" spans="1:43" x14ac:dyDescent="0.3">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row>
    <row r="127" spans="1:43" x14ac:dyDescent="0.3">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row>
    <row r="128" spans="1:43" x14ac:dyDescent="0.3">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row>
    <row r="129" spans="1:43" x14ac:dyDescent="0.3">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row>
    <row r="130" spans="1:43" x14ac:dyDescent="0.3">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row>
    <row r="131" spans="1:43" x14ac:dyDescent="0.3">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row>
    <row r="132" spans="1:43" x14ac:dyDescent="0.3">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row>
    <row r="133" spans="1:43" x14ac:dyDescent="0.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row>
    <row r="134" spans="1:43" x14ac:dyDescent="0.3">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row>
    <row r="135" spans="1:43" x14ac:dyDescent="0.3">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row>
    <row r="136" spans="1:43" x14ac:dyDescent="0.3">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row>
    <row r="137" spans="1:43" x14ac:dyDescent="0.3">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row>
    <row r="138" spans="1:43" x14ac:dyDescent="0.3">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row>
    <row r="139" spans="1:43" x14ac:dyDescent="0.3">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row>
    <row r="140" spans="1:43" x14ac:dyDescent="0.3">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row>
    <row r="141" spans="1:43" x14ac:dyDescent="0.3">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row>
    <row r="142" spans="1:43" x14ac:dyDescent="0.3">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row>
    <row r="143" spans="1:43" x14ac:dyDescent="0.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row>
    <row r="144" spans="1:43" x14ac:dyDescent="0.3">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row>
    <row r="145" spans="1:43" x14ac:dyDescent="0.3">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row>
    <row r="146" spans="1:43" x14ac:dyDescent="0.3">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row>
    <row r="147" spans="1:43" x14ac:dyDescent="0.3">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row>
    <row r="148" spans="1:43" x14ac:dyDescent="0.3">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row>
    <row r="149" spans="1:43" x14ac:dyDescent="0.3">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row>
    <row r="150" spans="1:43" x14ac:dyDescent="0.3">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row>
    <row r="151" spans="1:43" x14ac:dyDescent="0.3">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row>
    <row r="152" spans="1:43" x14ac:dyDescent="0.3">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row>
    <row r="153" spans="1:43" x14ac:dyDescent="0.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row>
    <row r="154" spans="1:43" x14ac:dyDescent="0.3">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row>
    <row r="155" spans="1:43" x14ac:dyDescent="0.3">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row>
    <row r="156" spans="1:43" x14ac:dyDescent="0.3">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row>
    <row r="157" spans="1:43" x14ac:dyDescent="0.3">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row>
    <row r="158" spans="1:43" x14ac:dyDescent="0.3">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row>
    <row r="159" spans="1:43" x14ac:dyDescent="0.3">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row>
    <row r="160" spans="1:43" x14ac:dyDescent="0.3">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row>
    <row r="161" spans="1:43" x14ac:dyDescent="0.3">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row>
    <row r="162" spans="1:43" x14ac:dyDescent="0.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row>
    <row r="163" spans="1:43" x14ac:dyDescent="0.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row>
    <row r="164" spans="1:43" x14ac:dyDescent="0.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row>
    <row r="165" spans="1:43" x14ac:dyDescent="0.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row>
    <row r="166" spans="1:43" x14ac:dyDescent="0.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row>
    <row r="167" spans="1:43" x14ac:dyDescent="0.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row>
    <row r="168" spans="1:43" x14ac:dyDescent="0.3">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row>
    <row r="169" spans="1:43" x14ac:dyDescent="0.3">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row>
    <row r="170" spans="1:43" x14ac:dyDescent="0.3">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row>
    <row r="171" spans="1:43" x14ac:dyDescent="0.3">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row>
  </sheetData>
  <conditionalFormatting sqref="O19:S35">
    <cfRule type="dataBar" priority="2">
      <dataBar>
        <cfvo type="num" val="0"/>
        <cfvo type="formula" val="MAX($O$19:$S$35)*2"/>
        <color theme="1" tint="0.14999847407452621"/>
      </dataBar>
      <extLst>
        <ext xmlns:x14="http://schemas.microsoft.com/office/spreadsheetml/2009/9/main" uri="{B025F937-C7B1-47D3-B67F-A62EFF666E3E}">
          <x14:id>{6CC4A016-4BA8-4B76-8518-55C782D4E5F5}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2757572E-BBFF-4FF4-8D20-DE977F4A1D82}">
            <xm:f>O$17=Pivots!$A$58</xm:f>
            <x14:dxf>
              <fill>
                <patternFill>
                  <bgColor theme="7" tint="0.59996337778862885"/>
                </patternFill>
              </fill>
              <border>
                <left style="thin">
                  <color theme="1" tint="0.14996795556505021"/>
                </left>
                <right style="thin">
                  <color theme="1" tint="0.14996795556505021"/>
                </right>
                <top/>
                <bottom/>
                <vertical/>
                <horizontal/>
              </border>
            </x14:dxf>
          </x14:cfRule>
          <xm:sqref>O17:S35</xm:sqref>
        </x14:conditionalFormatting>
        <x14:conditionalFormatting xmlns:xm="http://schemas.microsoft.com/office/excel/2006/main">
          <x14:cfRule type="dataBar" id="{6CC4A016-4BA8-4B76-8518-55C782D4E5F5}">
            <x14:dataBar minLength="0" maxLength="100" gradient="0">
              <x14:cfvo type="num">
                <xm:f>0</xm:f>
              </x14:cfvo>
              <x14:cfvo type="formula">
                <xm:f>MAX($O$19:$S$35)*2</xm:f>
              </x14:cfvo>
              <x14:negativeFillColor rgb="FFFF0000"/>
              <x14:axisColor rgb="FF000000"/>
            </x14:dataBar>
          </x14:cfRule>
          <xm:sqref>O19:S35</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sheetPr>
    <tabColor rgb="FF00B0F0"/>
  </sheetPr>
  <dimension ref="E2:F7"/>
  <sheetViews>
    <sheetView zoomScale="115" zoomScaleNormal="115" workbookViewId="0">
      <selection activeCell="F12" sqref="F12"/>
    </sheetView>
  </sheetViews>
  <sheetFormatPr defaultRowHeight="14.4" x14ac:dyDescent="0.3"/>
  <cols>
    <col min="5" max="5" width="11" customWidth="1"/>
    <col min="6" max="6" width="10"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Pivots</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balahere ___</cp:lastModifiedBy>
  <dcterms:created xsi:type="dcterms:W3CDTF">2021-03-14T20:21:32Z</dcterms:created>
  <dcterms:modified xsi:type="dcterms:W3CDTF">2025-02-12T09:18:33Z</dcterms:modified>
</cp:coreProperties>
</file>